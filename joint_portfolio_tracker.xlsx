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  <sheet xmlns:r="http://schemas.openxmlformats.org/officeDocument/2006/relationships" name="Holding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Inputs" sheetId="4" state="visible" r:id="rId4"/>
    <sheet xmlns:r="http://schemas.openxmlformats.org/officeDocument/2006/relationships" name="Rank Calc" sheetId="5" state="visible" r:id="rId5"/>
    <sheet xmlns:r="http://schemas.openxmlformats.org/officeDocument/2006/relationships" name="Method" sheetId="6" state="visible" r:id="rId6"/>
  </sheets>
  <definedNames>
    <definedName name="_xlnm._FilterDatabase" localSheetId="1" hidden="1">'Holdings'!$A$5:$AQ$25</definedName>
    <definedName name="_xlnm._FilterDatabase" localSheetId="2" hidden="1">'Watchlist'!$A$4:$AE$38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0.0%"/>
    <numFmt numFmtId="166" formatCode="#,##0.0000"/>
    <numFmt numFmtId="167" formatCode="$#,##0.00"/>
    <numFmt numFmtId="168" formatCode="$#,##0"/>
    <numFmt numFmtId="169" formatCode="$#,##0;[Red]-$#,##0"/>
    <numFmt numFmtId="170" formatCode="0.0%;[Red]-0.0%"/>
    <numFmt numFmtId="171" formatCode="0.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color rgb="000000FF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4" borderId="0" applyAlignment="1" pivotButton="0" quotePrefix="0" xfId="0">
      <alignment horizontal="center" wrapText="1"/>
    </xf>
    <xf numFmtId="1" fontId="0" fillId="0" borderId="0" pivotButton="0" quotePrefix="0" xfId="0"/>
    <xf numFmtId="0" fontId="0" fillId="0" borderId="1" pivotButton="0" quotePrefix="0" xfId="0"/>
    <xf numFmtId="171" fontId="0" fillId="0" borderId="1" pivotButton="0" quotePrefix="0" xfId="0"/>
    <xf numFmtId="167" fontId="0" fillId="0" borderId="1" pivotButton="0" quotePrefix="0" xfId="0"/>
    <xf numFmtId="170" fontId="0" fillId="0" borderId="1" pivotButton="0" quotePrefix="0" xfId="0"/>
    <xf numFmtId="1" fontId="0" fillId="0" borderId="1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3" borderId="1" pivotButton="0" quotePrefix="0" xfId="0"/>
    <xf numFmtId="166" fontId="3" fillId="3" borderId="1" pivotButton="0" quotePrefix="0" xfId="0"/>
    <xf numFmtId="167" fontId="3" fillId="3" borderId="1" pivotButton="0" quotePrefix="0" xfId="0"/>
    <xf numFmtId="164" fontId="3" fillId="3" borderId="1" pivotButton="0" quotePrefix="0" xfId="0"/>
    <xf numFmtId="168" fontId="0" fillId="0" borderId="1" pivotButton="0" quotePrefix="0" xfId="0"/>
    <xf numFmtId="169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3" fillId="0" borderId="0" pivotButton="0" quotePrefix="0" xfId="0"/>
    <xf numFmtId="0" fontId="4" fillId="5" borderId="0" pivotButton="0" quotePrefix="0" xfId="0"/>
    <xf numFmtId="168" fontId="4" fillId="5" borderId="0" pivotButton="0" quotePrefix="0" xfId="0"/>
    <xf numFmtId="169" fontId="4" fillId="5" borderId="0" pivotButton="0" quotePrefix="0" xfId="0"/>
    <xf numFmtId="170" fontId="4" fillId="5" borderId="0" pivotButton="0" quotePrefix="0" xfId="0"/>
    <xf numFmtId="165" fontId="4" fillId="5" borderId="0" pivotButton="0" quotePrefix="0" xfId="0"/>
    <xf numFmtId="1" fontId="3" fillId="3" borderId="1" pivotButton="0" quotePrefix="0" xfId="0"/>
    <xf numFmtId="9" fontId="0" fillId="0" borderId="1" pivotButton="0" quotePrefix="0" xfId="0"/>
    <xf numFmtId="0" fontId="2" fillId="2" borderId="0" pivotButton="0" quotePrefix="0" xfId="0"/>
    <xf numFmtId="9" fontId="3" fillId="3" borderId="1" pivotButton="0" quotePrefix="0" xfId="0"/>
    <xf numFmtId="165" fontId="3" fillId="3" borderId="1" pivotButton="0" quotePrefix="0" xfId="0"/>
    <xf numFmtId="0" fontId="5" fillId="0" borderId="0" pivotButton="0" quotePrefix="0" xfId="0"/>
    <xf numFmtId="0" fontId="2" fillId="2" borderId="0" applyAlignment="1" pivotButton="0" quotePrefix="0" xfId="0">
      <alignment horizontal="center" wrapText="1"/>
    </xf>
    <xf numFmtId="167" fontId="0" fillId="0" borderId="0" pivotButton="0" quotePrefix="0" xfId="0"/>
    <xf numFmtId="0" fontId="3" fillId="3" borderId="0" pivotButton="0" quotePrefix="0" xfId="0"/>
    <xf numFmtId="170" fontId="0" fillId="0" borderId="0" pivotButton="0" quotePrefix="0" xfId="0"/>
    <xf numFmtId="171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EB9C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8" customWidth="1" min="4" max="4"/>
    <col width="10" customWidth="1" min="5" max="5"/>
    <col width="10" customWidth="1" min="6" max="6"/>
    <col width="8" customWidth="1" min="7" max="7"/>
    <col width="10" customWidth="1" min="8" max="8"/>
    <col width="9" customWidth="1" min="9" max="9"/>
    <col width="8" customWidth="1" min="10" max="10"/>
    <col width="8" customWidth="1" min="11" max="11"/>
    <col width="12" customWidth="1" min="12" max="12"/>
    <col width="36" customWidth="1" min="13" max="13"/>
  </cols>
  <sheetData>
    <row r="1">
      <c r="A1" s="1" t="inlineStr">
        <is>
          <t>Ranked opportunities - best entry, most expected growth, soonest setup</t>
        </is>
      </c>
    </row>
    <row r="2">
      <c r="A2" t="inlineStr">
        <is>
          <t>Score 0-100 (weights on the Inputs tab). Growth = upside to the price target (12-month analyst horizon). Entry = upside vs. room down to the review level at today's price. Timing = pre-breakout chart score. A rank is a research order, not a buy order: check the STATUS, news and wash-sale locks.</t>
        </is>
      </c>
    </row>
    <row r="4">
      <c r="A4" s="2" t="inlineStr">
        <is>
          <t>Rank</t>
        </is>
      </c>
      <c r="B4" s="2" t="inlineStr">
        <is>
          <t>Symbol</t>
        </is>
      </c>
      <c r="C4" s="2" t="inlineStr">
        <is>
          <t>Source</t>
        </is>
      </c>
      <c r="D4" s="2" t="inlineStr">
        <is>
          <t>SCORE</t>
        </is>
      </c>
      <c r="E4" s="2" t="inlineStr">
        <is>
          <t>Price</t>
        </is>
      </c>
      <c r="F4" s="2" t="inlineStr">
        <is>
          <t>Target</t>
        </is>
      </c>
      <c r="G4" s="2" t="inlineStr">
        <is>
          <t>Upside</t>
        </is>
      </c>
      <c r="H4" s="2" t="inlineStr">
        <is>
          <t>Review Level</t>
        </is>
      </c>
      <c r="I4" s="2" t="inlineStr">
        <is>
          <t>Room to Review</t>
        </is>
      </c>
      <c r="J4" s="2" t="inlineStr">
        <is>
          <t>Reward : Risk</t>
        </is>
      </c>
      <c r="K4" s="2" t="inlineStr">
        <is>
          <t>Setup Score</t>
        </is>
      </c>
      <c r="L4" s="2" t="inlineStr">
        <is>
          <t>Agreement</t>
        </is>
      </c>
      <c r="M4" s="2" t="inlineStr">
        <is>
          <t>Status</t>
        </is>
      </c>
    </row>
    <row r="5">
      <c r="A5" s="3" t="n">
        <v>1</v>
      </c>
      <c r="B5" s="4">
        <f>IFERROR(INDEX('Rank Calc'!$A$5:$A$53,MATCH($A5,'Rank Calc'!$P$5:$P$53,0)),"")</f>
        <v/>
      </c>
      <c r="C5" s="4">
        <f>IFERROR(INDEX('Rank Calc'!$B$5:$B$53,MATCH($A5,'Rank Calc'!$P$5:$P$53,0)),"")</f>
        <v/>
      </c>
      <c r="D5" s="5">
        <f>IFERROR(INDEX('Rank Calc'!$O$5:$O$53,MATCH($A5,'Rank Calc'!$P$5:$P$53,0)),"")</f>
        <v/>
      </c>
      <c r="E5" s="6">
        <f>IFERROR(INDEX('Rank Calc'!$C$5:$C$53,MATCH($A5,'Rank Calc'!$P$5:$P$53,0)),"")</f>
        <v/>
      </c>
      <c r="F5" s="6">
        <f>IFERROR(INDEX('Rank Calc'!$D$5:$D$53,MATCH($A5,'Rank Calc'!$P$5:$P$53,0)),"")</f>
        <v/>
      </c>
      <c r="G5" s="7">
        <f>IFERROR(INDEX('Rank Calc'!$I$5:$I$53,MATCH($A5,'Rank Calc'!$P$5:$P$53,0)),"")</f>
        <v/>
      </c>
      <c r="H5" s="6">
        <f>IFERROR(INDEX('Rank Calc'!$E$5:$E$53,MATCH($A5,'Rank Calc'!$P$5:$P$53,0)),"")</f>
        <v/>
      </c>
      <c r="I5" s="7">
        <f>IFERROR(INDEX('Rank Calc'!$J$5:$J$53,MATCH($A5,'Rank Calc'!$P$5:$P$53,0)),"")</f>
        <v/>
      </c>
      <c r="J5" s="5">
        <f>IFERROR(INDEX('Rank Calc'!$K$5:$K$53,MATCH($A5,'Rank Calc'!$P$5:$P$53,0)),"")</f>
        <v/>
      </c>
      <c r="K5" s="8">
        <f>IFERROR(INDEX('Rank Calc'!$G$5:$G$53,MATCH($A5,'Rank Calc'!$P$5:$P$53,0)),"")</f>
        <v/>
      </c>
      <c r="L5" s="4">
        <f>IFERROR(INDEX('Rank Calc'!$F$5:$F$53,MATCH($A5,'Rank Calc'!$P$5:$P$53,0)),"")</f>
        <v/>
      </c>
      <c r="M5" s="4">
        <f>IFERROR(INDEX('Rank Calc'!$H$5:$H$53,MATCH($A5,'Rank Calc'!$P$5:$P$53,0)),"")</f>
        <v/>
      </c>
    </row>
    <row r="6">
      <c r="A6" s="3" t="n">
        <v>2</v>
      </c>
      <c r="B6" s="4">
        <f>IFERROR(INDEX('Rank Calc'!$A$5:$A$53,MATCH($A6,'Rank Calc'!$P$5:$P$53,0)),"")</f>
        <v/>
      </c>
      <c r="C6" s="4">
        <f>IFERROR(INDEX('Rank Calc'!$B$5:$B$53,MATCH($A6,'Rank Calc'!$P$5:$P$53,0)),"")</f>
        <v/>
      </c>
      <c r="D6" s="5">
        <f>IFERROR(INDEX('Rank Calc'!$O$5:$O$53,MATCH($A6,'Rank Calc'!$P$5:$P$53,0)),"")</f>
        <v/>
      </c>
      <c r="E6" s="6">
        <f>IFERROR(INDEX('Rank Calc'!$C$5:$C$53,MATCH($A6,'Rank Calc'!$P$5:$P$53,0)),"")</f>
        <v/>
      </c>
      <c r="F6" s="6">
        <f>IFERROR(INDEX('Rank Calc'!$D$5:$D$53,MATCH($A6,'Rank Calc'!$P$5:$P$53,0)),"")</f>
        <v/>
      </c>
      <c r="G6" s="7">
        <f>IFERROR(INDEX('Rank Calc'!$I$5:$I$53,MATCH($A6,'Rank Calc'!$P$5:$P$53,0)),"")</f>
        <v/>
      </c>
      <c r="H6" s="6">
        <f>IFERROR(INDEX('Rank Calc'!$E$5:$E$53,MATCH($A6,'Rank Calc'!$P$5:$P$53,0)),"")</f>
        <v/>
      </c>
      <c r="I6" s="7">
        <f>IFERROR(INDEX('Rank Calc'!$J$5:$J$53,MATCH($A6,'Rank Calc'!$P$5:$P$53,0)),"")</f>
        <v/>
      </c>
      <c r="J6" s="5">
        <f>IFERROR(INDEX('Rank Calc'!$K$5:$K$53,MATCH($A6,'Rank Calc'!$P$5:$P$53,0)),"")</f>
        <v/>
      </c>
      <c r="K6" s="8">
        <f>IFERROR(INDEX('Rank Calc'!$G$5:$G$53,MATCH($A6,'Rank Calc'!$P$5:$P$53,0)),"")</f>
        <v/>
      </c>
      <c r="L6" s="4">
        <f>IFERROR(INDEX('Rank Calc'!$F$5:$F$53,MATCH($A6,'Rank Calc'!$P$5:$P$53,0)),"")</f>
        <v/>
      </c>
      <c r="M6" s="4">
        <f>IFERROR(INDEX('Rank Calc'!$H$5:$H$53,MATCH($A6,'Rank Calc'!$P$5:$P$53,0)),"")</f>
        <v/>
      </c>
    </row>
    <row r="7">
      <c r="A7" s="3" t="n">
        <v>3</v>
      </c>
      <c r="B7" s="4">
        <f>IFERROR(INDEX('Rank Calc'!$A$5:$A$53,MATCH($A7,'Rank Calc'!$P$5:$P$53,0)),"")</f>
        <v/>
      </c>
      <c r="C7" s="4">
        <f>IFERROR(INDEX('Rank Calc'!$B$5:$B$53,MATCH($A7,'Rank Calc'!$P$5:$P$53,0)),"")</f>
        <v/>
      </c>
      <c r="D7" s="5">
        <f>IFERROR(INDEX('Rank Calc'!$O$5:$O$53,MATCH($A7,'Rank Calc'!$P$5:$P$53,0)),"")</f>
        <v/>
      </c>
      <c r="E7" s="6">
        <f>IFERROR(INDEX('Rank Calc'!$C$5:$C$53,MATCH($A7,'Rank Calc'!$P$5:$P$53,0)),"")</f>
        <v/>
      </c>
      <c r="F7" s="6">
        <f>IFERROR(INDEX('Rank Calc'!$D$5:$D$53,MATCH($A7,'Rank Calc'!$P$5:$P$53,0)),"")</f>
        <v/>
      </c>
      <c r="G7" s="7">
        <f>IFERROR(INDEX('Rank Calc'!$I$5:$I$53,MATCH($A7,'Rank Calc'!$P$5:$P$53,0)),"")</f>
        <v/>
      </c>
      <c r="H7" s="6">
        <f>IFERROR(INDEX('Rank Calc'!$E$5:$E$53,MATCH($A7,'Rank Calc'!$P$5:$P$53,0)),"")</f>
        <v/>
      </c>
      <c r="I7" s="7">
        <f>IFERROR(INDEX('Rank Calc'!$J$5:$J$53,MATCH($A7,'Rank Calc'!$P$5:$P$53,0)),"")</f>
        <v/>
      </c>
      <c r="J7" s="5">
        <f>IFERROR(INDEX('Rank Calc'!$K$5:$K$53,MATCH($A7,'Rank Calc'!$P$5:$P$53,0)),"")</f>
        <v/>
      </c>
      <c r="K7" s="8">
        <f>IFERROR(INDEX('Rank Calc'!$G$5:$G$53,MATCH($A7,'Rank Calc'!$P$5:$P$53,0)),"")</f>
        <v/>
      </c>
      <c r="L7" s="4">
        <f>IFERROR(INDEX('Rank Calc'!$F$5:$F$53,MATCH($A7,'Rank Calc'!$P$5:$P$53,0)),"")</f>
        <v/>
      </c>
      <c r="M7" s="4">
        <f>IFERROR(INDEX('Rank Calc'!$H$5:$H$53,MATCH($A7,'Rank Calc'!$P$5:$P$53,0)),"")</f>
        <v/>
      </c>
    </row>
    <row r="8">
      <c r="A8" s="3" t="n">
        <v>4</v>
      </c>
      <c r="B8" s="4">
        <f>IFERROR(INDEX('Rank Calc'!$A$5:$A$53,MATCH($A8,'Rank Calc'!$P$5:$P$53,0)),"")</f>
        <v/>
      </c>
      <c r="C8" s="4">
        <f>IFERROR(INDEX('Rank Calc'!$B$5:$B$53,MATCH($A8,'Rank Calc'!$P$5:$P$53,0)),"")</f>
        <v/>
      </c>
      <c r="D8" s="5">
        <f>IFERROR(INDEX('Rank Calc'!$O$5:$O$53,MATCH($A8,'Rank Calc'!$P$5:$P$53,0)),"")</f>
        <v/>
      </c>
      <c r="E8" s="6">
        <f>IFERROR(INDEX('Rank Calc'!$C$5:$C$53,MATCH($A8,'Rank Calc'!$P$5:$P$53,0)),"")</f>
        <v/>
      </c>
      <c r="F8" s="6">
        <f>IFERROR(INDEX('Rank Calc'!$D$5:$D$53,MATCH($A8,'Rank Calc'!$P$5:$P$53,0)),"")</f>
        <v/>
      </c>
      <c r="G8" s="7">
        <f>IFERROR(INDEX('Rank Calc'!$I$5:$I$53,MATCH($A8,'Rank Calc'!$P$5:$P$53,0)),"")</f>
        <v/>
      </c>
      <c r="H8" s="6">
        <f>IFERROR(INDEX('Rank Calc'!$E$5:$E$53,MATCH($A8,'Rank Calc'!$P$5:$P$53,0)),"")</f>
        <v/>
      </c>
      <c r="I8" s="7">
        <f>IFERROR(INDEX('Rank Calc'!$J$5:$J$53,MATCH($A8,'Rank Calc'!$P$5:$P$53,0)),"")</f>
        <v/>
      </c>
      <c r="J8" s="5">
        <f>IFERROR(INDEX('Rank Calc'!$K$5:$K$53,MATCH($A8,'Rank Calc'!$P$5:$P$53,0)),"")</f>
        <v/>
      </c>
      <c r="K8" s="8">
        <f>IFERROR(INDEX('Rank Calc'!$G$5:$G$53,MATCH($A8,'Rank Calc'!$P$5:$P$53,0)),"")</f>
        <v/>
      </c>
      <c r="L8" s="4">
        <f>IFERROR(INDEX('Rank Calc'!$F$5:$F$53,MATCH($A8,'Rank Calc'!$P$5:$P$53,0)),"")</f>
        <v/>
      </c>
      <c r="M8" s="4">
        <f>IFERROR(INDEX('Rank Calc'!$H$5:$H$53,MATCH($A8,'Rank Calc'!$P$5:$P$53,0)),"")</f>
        <v/>
      </c>
    </row>
    <row r="9">
      <c r="A9" s="3" t="n">
        <v>5</v>
      </c>
      <c r="B9" s="4">
        <f>IFERROR(INDEX('Rank Calc'!$A$5:$A$53,MATCH($A9,'Rank Calc'!$P$5:$P$53,0)),"")</f>
        <v/>
      </c>
      <c r="C9" s="4">
        <f>IFERROR(INDEX('Rank Calc'!$B$5:$B$53,MATCH($A9,'Rank Calc'!$P$5:$P$53,0)),"")</f>
        <v/>
      </c>
      <c r="D9" s="5">
        <f>IFERROR(INDEX('Rank Calc'!$O$5:$O$53,MATCH($A9,'Rank Calc'!$P$5:$P$53,0)),"")</f>
        <v/>
      </c>
      <c r="E9" s="6">
        <f>IFERROR(INDEX('Rank Calc'!$C$5:$C$53,MATCH($A9,'Rank Calc'!$P$5:$P$53,0)),"")</f>
        <v/>
      </c>
      <c r="F9" s="6">
        <f>IFERROR(INDEX('Rank Calc'!$D$5:$D$53,MATCH($A9,'Rank Calc'!$P$5:$P$53,0)),"")</f>
        <v/>
      </c>
      <c r="G9" s="7">
        <f>IFERROR(INDEX('Rank Calc'!$I$5:$I$53,MATCH($A9,'Rank Calc'!$P$5:$P$53,0)),"")</f>
        <v/>
      </c>
      <c r="H9" s="6">
        <f>IFERROR(INDEX('Rank Calc'!$E$5:$E$53,MATCH($A9,'Rank Calc'!$P$5:$P$53,0)),"")</f>
        <v/>
      </c>
      <c r="I9" s="7">
        <f>IFERROR(INDEX('Rank Calc'!$J$5:$J$53,MATCH($A9,'Rank Calc'!$P$5:$P$53,0)),"")</f>
        <v/>
      </c>
      <c r="J9" s="5">
        <f>IFERROR(INDEX('Rank Calc'!$K$5:$K$53,MATCH($A9,'Rank Calc'!$P$5:$P$53,0)),"")</f>
        <v/>
      </c>
      <c r="K9" s="8">
        <f>IFERROR(INDEX('Rank Calc'!$G$5:$G$53,MATCH($A9,'Rank Calc'!$P$5:$P$53,0)),"")</f>
        <v/>
      </c>
      <c r="L9" s="4">
        <f>IFERROR(INDEX('Rank Calc'!$F$5:$F$53,MATCH($A9,'Rank Calc'!$P$5:$P$53,0)),"")</f>
        <v/>
      </c>
      <c r="M9" s="4">
        <f>IFERROR(INDEX('Rank Calc'!$H$5:$H$53,MATCH($A9,'Rank Calc'!$P$5:$P$53,0)),"")</f>
        <v/>
      </c>
    </row>
    <row r="10">
      <c r="A10" s="3" t="n">
        <v>6</v>
      </c>
      <c r="B10" s="4">
        <f>IFERROR(INDEX('Rank Calc'!$A$5:$A$53,MATCH($A10,'Rank Calc'!$P$5:$P$53,0)),"")</f>
        <v/>
      </c>
      <c r="C10" s="4">
        <f>IFERROR(INDEX('Rank Calc'!$B$5:$B$53,MATCH($A10,'Rank Calc'!$P$5:$P$53,0)),"")</f>
        <v/>
      </c>
      <c r="D10" s="5">
        <f>IFERROR(INDEX('Rank Calc'!$O$5:$O$53,MATCH($A10,'Rank Calc'!$P$5:$P$53,0)),"")</f>
        <v/>
      </c>
      <c r="E10" s="6">
        <f>IFERROR(INDEX('Rank Calc'!$C$5:$C$53,MATCH($A10,'Rank Calc'!$P$5:$P$53,0)),"")</f>
        <v/>
      </c>
      <c r="F10" s="6">
        <f>IFERROR(INDEX('Rank Calc'!$D$5:$D$53,MATCH($A10,'Rank Calc'!$P$5:$P$53,0)),"")</f>
        <v/>
      </c>
      <c r="G10" s="7">
        <f>IFERROR(INDEX('Rank Calc'!$I$5:$I$53,MATCH($A10,'Rank Calc'!$P$5:$P$53,0)),"")</f>
        <v/>
      </c>
      <c r="H10" s="6">
        <f>IFERROR(INDEX('Rank Calc'!$E$5:$E$53,MATCH($A10,'Rank Calc'!$P$5:$P$53,0)),"")</f>
        <v/>
      </c>
      <c r="I10" s="7">
        <f>IFERROR(INDEX('Rank Calc'!$J$5:$J$53,MATCH($A10,'Rank Calc'!$P$5:$P$53,0)),"")</f>
        <v/>
      </c>
      <c r="J10" s="5">
        <f>IFERROR(INDEX('Rank Calc'!$K$5:$K$53,MATCH($A10,'Rank Calc'!$P$5:$P$53,0)),"")</f>
        <v/>
      </c>
      <c r="K10" s="8">
        <f>IFERROR(INDEX('Rank Calc'!$G$5:$G$53,MATCH($A10,'Rank Calc'!$P$5:$P$53,0)),"")</f>
        <v/>
      </c>
      <c r="L10" s="4">
        <f>IFERROR(INDEX('Rank Calc'!$F$5:$F$53,MATCH($A10,'Rank Calc'!$P$5:$P$53,0)),"")</f>
        <v/>
      </c>
      <c r="M10" s="4">
        <f>IFERROR(INDEX('Rank Calc'!$H$5:$H$53,MATCH($A10,'Rank Calc'!$P$5:$P$53,0)),"")</f>
        <v/>
      </c>
    </row>
    <row r="11">
      <c r="A11" s="3" t="n">
        <v>7</v>
      </c>
      <c r="B11" s="4">
        <f>IFERROR(INDEX('Rank Calc'!$A$5:$A$53,MATCH($A11,'Rank Calc'!$P$5:$P$53,0)),"")</f>
        <v/>
      </c>
      <c r="C11" s="4">
        <f>IFERROR(INDEX('Rank Calc'!$B$5:$B$53,MATCH($A11,'Rank Calc'!$P$5:$P$53,0)),"")</f>
        <v/>
      </c>
      <c r="D11" s="5">
        <f>IFERROR(INDEX('Rank Calc'!$O$5:$O$53,MATCH($A11,'Rank Calc'!$P$5:$P$53,0)),"")</f>
        <v/>
      </c>
      <c r="E11" s="6">
        <f>IFERROR(INDEX('Rank Calc'!$C$5:$C$53,MATCH($A11,'Rank Calc'!$P$5:$P$53,0)),"")</f>
        <v/>
      </c>
      <c r="F11" s="6">
        <f>IFERROR(INDEX('Rank Calc'!$D$5:$D$53,MATCH($A11,'Rank Calc'!$P$5:$P$53,0)),"")</f>
        <v/>
      </c>
      <c r="G11" s="7">
        <f>IFERROR(INDEX('Rank Calc'!$I$5:$I$53,MATCH($A11,'Rank Calc'!$P$5:$P$53,0)),"")</f>
        <v/>
      </c>
      <c r="H11" s="6">
        <f>IFERROR(INDEX('Rank Calc'!$E$5:$E$53,MATCH($A11,'Rank Calc'!$P$5:$P$53,0)),"")</f>
        <v/>
      </c>
      <c r="I11" s="7">
        <f>IFERROR(INDEX('Rank Calc'!$J$5:$J$53,MATCH($A11,'Rank Calc'!$P$5:$P$53,0)),"")</f>
        <v/>
      </c>
      <c r="J11" s="5">
        <f>IFERROR(INDEX('Rank Calc'!$K$5:$K$53,MATCH($A11,'Rank Calc'!$P$5:$P$53,0)),"")</f>
        <v/>
      </c>
      <c r="K11" s="8">
        <f>IFERROR(INDEX('Rank Calc'!$G$5:$G$53,MATCH($A11,'Rank Calc'!$P$5:$P$53,0)),"")</f>
        <v/>
      </c>
      <c r="L11" s="4">
        <f>IFERROR(INDEX('Rank Calc'!$F$5:$F$53,MATCH($A11,'Rank Calc'!$P$5:$P$53,0)),"")</f>
        <v/>
      </c>
      <c r="M11" s="4">
        <f>IFERROR(INDEX('Rank Calc'!$H$5:$H$53,MATCH($A11,'Rank Calc'!$P$5:$P$53,0)),"")</f>
        <v/>
      </c>
    </row>
    <row r="12">
      <c r="A12" s="3" t="n">
        <v>8</v>
      </c>
      <c r="B12" s="4">
        <f>IFERROR(INDEX('Rank Calc'!$A$5:$A$53,MATCH($A12,'Rank Calc'!$P$5:$P$53,0)),"")</f>
        <v/>
      </c>
      <c r="C12" s="4">
        <f>IFERROR(INDEX('Rank Calc'!$B$5:$B$53,MATCH($A12,'Rank Calc'!$P$5:$P$53,0)),"")</f>
        <v/>
      </c>
      <c r="D12" s="5">
        <f>IFERROR(INDEX('Rank Calc'!$O$5:$O$53,MATCH($A12,'Rank Calc'!$P$5:$P$53,0)),"")</f>
        <v/>
      </c>
      <c r="E12" s="6">
        <f>IFERROR(INDEX('Rank Calc'!$C$5:$C$53,MATCH($A12,'Rank Calc'!$P$5:$P$53,0)),"")</f>
        <v/>
      </c>
      <c r="F12" s="6">
        <f>IFERROR(INDEX('Rank Calc'!$D$5:$D$53,MATCH($A12,'Rank Calc'!$P$5:$P$53,0)),"")</f>
        <v/>
      </c>
      <c r="G12" s="7">
        <f>IFERROR(INDEX('Rank Calc'!$I$5:$I$53,MATCH($A12,'Rank Calc'!$P$5:$P$53,0)),"")</f>
        <v/>
      </c>
      <c r="H12" s="6">
        <f>IFERROR(INDEX('Rank Calc'!$E$5:$E$53,MATCH($A12,'Rank Calc'!$P$5:$P$53,0)),"")</f>
        <v/>
      </c>
      <c r="I12" s="7">
        <f>IFERROR(INDEX('Rank Calc'!$J$5:$J$53,MATCH($A12,'Rank Calc'!$P$5:$P$53,0)),"")</f>
        <v/>
      </c>
      <c r="J12" s="5">
        <f>IFERROR(INDEX('Rank Calc'!$K$5:$K$53,MATCH($A12,'Rank Calc'!$P$5:$P$53,0)),"")</f>
        <v/>
      </c>
      <c r="K12" s="8">
        <f>IFERROR(INDEX('Rank Calc'!$G$5:$G$53,MATCH($A12,'Rank Calc'!$P$5:$P$53,0)),"")</f>
        <v/>
      </c>
      <c r="L12" s="4">
        <f>IFERROR(INDEX('Rank Calc'!$F$5:$F$53,MATCH($A12,'Rank Calc'!$P$5:$P$53,0)),"")</f>
        <v/>
      </c>
      <c r="M12" s="4">
        <f>IFERROR(INDEX('Rank Calc'!$H$5:$H$53,MATCH($A12,'Rank Calc'!$P$5:$P$53,0)),"")</f>
        <v/>
      </c>
    </row>
    <row r="13">
      <c r="A13" s="3" t="n">
        <v>9</v>
      </c>
      <c r="B13" s="4">
        <f>IFERROR(INDEX('Rank Calc'!$A$5:$A$53,MATCH($A13,'Rank Calc'!$P$5:$P$53,0)),"")</f>
        <v/>
      </c>
      <c r="C13" s="4">
        <f>IFERROR(INDEX('Rank Calc'!$B$5:$B$53,MATCH($A13,'Rank Calc'!$P$5:$P$53,0)),"")</f>
        <v/>
      </c>
      <c r="D13" s="5">
        <f>IFERROR(INDEX('Rank Calc'!$O$5:$O$53,MATCH($A13,'Rank Calc'!$P$5:$P$53,0)),"")</f>
        <v/>
      </c>
      <c r="E13" s="6">
        <f>IFERROR(INDEX('Rank Calc'!$C$5:$C$53,MATCH($A13,'Rank Calc'!$P$5:$P$53,0)),"")</f>
        <v/>
      </c>
      <c r="F13" s="6">
        <f>IFERROR(INDEX('Rank Calc'!$D$5:$D$53,MATCH($A13,'Rank Calc'!$P$5:$P$53,0)),"")</f>
        <v/>
      </c>
      <c r="G13" s="7">
        <f>IFERROR(INDEX('Rank Calc'!$I$5:$I$53,MATCH($A13,'Rank Calc'!$P$5:$P$53,0)),"")</f>
        <v/>
      </c>
      <c r="H13" s="6">
        <f>IFERROR(INDEX('Rank Calc'!$E$5:$E$53,MATCH($A13,'Rank Calc'!$P$5:$P$53,0)),"")</f>
        <v/>
      </c>
      <c r="I13" s="7">
        <f>IFERROR(INDEX('Rank Calc'!$J$5:$J$53,MATCH($A13,'Rank Calc'!$P$5:$P$53,0)),"")</f>
        <v/>
      </c>
      <c r="J13" s="5">
        <f>IFERROR(INDEX('Rank Calc'!$K$5:$K$53,MATCH($A13,'Rank Calc'!$P$5:$P$53,0)),"")</f>
        <v/>
      </c>
      <c r="K13" s="8">
        <f>IFERROR(INDEX('Rank Calc'!$G$5:$G$53,MATCH($A13,'Rank Calc'!$P$5:$P$53,0)),"")</f>
        <v/>
      </c>
      <c r="L13" s="4">
        <f>IFERROR(INDEX('Rank Calc'!$F$5:$F$53,MATCH($A13,'Rank Calc'!$P$5:$P$53,0)),"")</f>
        <v/>
      </c>
      <c r="M13" s="4">
        <f>IFERROR(INDEX('Rank Calc'!$H$5:$H$53,MATCH($A13,'Rank Calc'!$P$5:$P$53,0)),"")</f>
        <v/>
      </c>
    </row>
    <row r="14">
      <c r="A14" s="3" t="n">
        <v>10</v>
      </c>
      <c r="B14" s="4">
        <f>IFERROR(INDEX('Rank Calc'!$A$5:$A$53,MATCH($A14,'Rank Calc'!$P$5:$P$53,0)),"")</f>
        <v/>
      </c>
      <c r="C14" s="4">
        <f>IFERROR(INDEX('Rank Calc'!$B$5:$B$53,MATCH($A14,'Rank Calc'!$P$5:$P$53,0)),"")</f>
        <v/>
      </c>
      <c r="D14" s="5">
        <f>IFERROR(INDEX('Rank Calc'!$O$5:$O$53,MATCH($A14,'Rank Calc'!$P$5:$P$53,0)),"")</f>
        <v/>
      </c>
      <c r="E14" s="6">
        <f>IFERROR(INDEX('Rank Calc'!$C$5:$C$53,MATCH($A14,'Rank Calc'!$P$5:$P$53,0)),"")</f>
        <v/>
      </c>
      <c r="F14" s="6">
        <f>IFERROR(INDEX('Rank Calc'!$D$5:$D$53,MATCH($A14,'Rank Calc'!$P$5:$P$53,0)),"")</f>
        <v/>
      </c>
      <c r="G14" s="7">
        <f>IFERROR(INDEX('Rank Calc'!$I$5:$I$53,MATCH($A14,'Rank Calc'!$P$5:$P$53,0)),"")</f>
        <v/>
      </c>
      <c r="H14" s="6">
        <f>IFERROR(INDEX('Rank Calc'!$E$5:$E$53,MATCH($A14,'Rank Calc'!$P$5:$P$53,0)),"")</f>
        <v/>
      </c>
      <c r="I14" s="7">
        <f>IFERROR(INDEX('Rank Calc'!$J$5:$J$53,MATCH($A14,'Rank Calc'!$P$5:$P$53,0)),"")</f>
        <v/>
      </c>
      <c r="J14" s="5">
        <f>IFERROR(INDEX('Rank Calc'!$K$5:$K$53,MATCH($A14,'Rank Calc'!$P$5:$P$53,0)),"")</f>
        <v/>
      </c>
      <c r="K14" s="8">
        <f>IFERROR(INDEX('Rank Calc'!$G$5:$G$53,MATCH($A14,'Rank Calc'!$P$5:$P$53,0)),"")</f>
        <v/>
      </c>
      <c r="L14" s="4">
        <f>IFERROR(INDEX('Rank Calc'!$F$5:$F$53,MATCH($A14,'Rank Calc'!$P$5:$P$53,0)),"")</f>
        <v/>
      </c>
      <c r="M14" s="4">
        <f>IFERROR(INDEX('Rank Calc'!$H$5:$H$53,MATCH($A14,'Rank Calc'!$P$5:$P$53,0)),"")</f>
        <v/>
      </c>
    </row>
    <row r="15">
      <c r="A15" s="3" t="n">
        <v>11</v>
      </c>
      <c r="B15" s="4">
        <f>IFERROR(INDEX('Rank Calc'!$A$5:$A$53,MATCH($A15,'Rank Calc'!$P$5:$P$53,0)),"")</f>
        <v/>
      </c>
      <c r="C15" s="4">
        <f>IFERROR(INDEX('Rank Calc'!$B$5:$B$53,MATCH($A15,'Rank Calc'!$P$5:$P$53,0)),"")</f>
        <v/>
      </c>
      <c r="D15" s="5">
        <f>IFERROR(INDEX('Rank Calc'!$O$5:$O$53,MATCH($A15,'Rank Calc'!$P$5:$P$53,0)),"")</f>
        <v/>
      </c>
      <c r="E15" s="6">
        <f>IFERROR(INDEX('Rank Calc'!$C$5:$C$53,MATCH($A15,'Rank Calc'!$P$5:$P$53,0)),"")</f>
        <v/>
      </c>
      <c r="F15" s="6">
        <f>IFERROR(INDEX('Rank Calc'!$D$5:$D$53,MATCH($A15,'Rank Calc'!$P$5:$P$53,0)),"")</f>
        <v/>
      </c>
      <c r="G15" s="7">
        <f>IFERROR(INDEX('Rank Calc'!$I$5:$I$53,MATCH($A15,'Rank Calc'!$P$5:$P$53,0)),"")</f>
        <v/>
      </c>
      <c r="H15" s="6">
        <f>IFERROR(INDEX('Rank Calc'!$E$5:$E$53,MATCH($A15,'Rank Calc'!$P$5:$P$53,0)),"")</f>
        <v/>
      </c>
      <c r="I15" s="7">
        <f>IFERROR(INDEX('Rank Calc'!$J$5:$J$53,MATCH($A15,'Rank Calc'!$P$5:$P$53,0)),"")</f>
        <v/>
      </c>
      <c r="J15" s="5">
        <f>IFERROR(INDEX('Rank Calc'!$K$5:$K$53,MATCH($A15,'Rank Calc'!$P$5:$P$53,0)),"")</f>
        <v/>
      </c>
      <c r="K15" s="8">
        <f>IFERROR(INDEX('Rank Calc'!$G$5:$G$53,MATCH($A15,'Rank Calc'!$P$5:$P$53,0)),"")</f>
        <v/>
      </c>
      <c r="L15" s="4">
        <f>IFERROR(INDEX('Rank Calc'!$F$5:$F$53,MATCH($A15,'Rank Calc'!$P$5:$P$53,0)),"")</f>
        <v/>
      </c>
      <c r="M15" s="4">
        <f>IFERROR(INDEX('Rank Calc'!$H$5:$H$53,MATCH($A15,'Rank Calc'!$P$5:$P$53,0)),"")</f>
        <v/>
      </c>
    </row>
    <row r="16">
      <c r="A16" s="3" t="n">
        <v>12</v>
      </c>
      <c r="B16" s="4">
        <f>IFERROR(INDEX('Rank Calc'!$A$5:$A$53,MATCH($A16,'Rank Calc'!$P$5:$P$53,0)),"")</f>
        <v/>
      </c>
      <c r="C16" s="4">
        <f>IFERROR(INDEX('Rank Calc'!$B$5:$B$53,MATCH($A16,'Rank Calc'!$P$5:$P$53,0)),"")</f>
        <v/>
      </c>
      <c r="D16" s="5">
        <f>IFERROR(INDEX('Rank Calc'!$O$5:$O$53,MATCH($A16,'Rank Calc'!$P$5:$P$53,0)),"")</f>
        <v/>
      </c>
      <c r="E16" s="6">
        <f>IFERROR(INDEX('Rank Calc'!$C$5:$C$53,MATCH($A16,'Rank Calc'!$P$5:$P$53,0)),"")</f>
        <v/>
      </c>
      <c r="F16" s="6">
        <f>IFERROR(INDEX('Rank Calc'!$D$5:$D$53,MATCH($A16,'Rank Calc'!$P$5:$P$53,0)),"")</f>
        <v/>
      </c>
      <c r="G16" s="7">
        <f>IFERROR(INDEX('Rank Calc'!$I$5:$I$53,MATCH($A16,'Rank Calc'!$P$5:$P$53,0)),"")</f>
        <v/>
      </c>
      <c r="H16" s="6">
        <f>IFERROR(INDEX('Rank Calc'!$E$5:$E$53,MATCH($A16,'Rank Calc'!$P$5:$P$53,0)),"")</f>
        <v/>
      </c>
      <c r="I16" s="7">
        <f>IFERROR(INDEX('Rank Calc'!$J$5:$J$53,MATCH($A16,'Rank Calc'!$P$5:$P$53,0)),"")</f>
        <v/>
      </c>
      <c r="J16" s="5">
        <f>IFERROR(INDEX('Rank Calc'!$K$5:$K$53,MATCH($A16,'Rank Calc'!$P$5:$P$53,0)),"")</f>
        <v/>
      </c>
      <c r="K16" s="8">
        <f>IFERROR(INDEX('Rank Calc'!$G$5:$G$53,MATCH($A16,'Rank Calc'!$P$5:$P$53,0)),"")</f>
        <v/>
      </c>
      <c r="L16" s="4">
        <f>IFERROR(INDEX('Rank Calc'!$F$5:$F$53,MATCH($A16,'Rank Calc'!$P$5:$P$53,0)),"")</f>
        <v/>
      </c>
      <c r="M16" s="4">
        <f>IFERROR(INDEX('Rank Calc'!$H$5:$H$53,MATCH($A16,'Rank Calc'!$P$5:$P$53,0)),"")</f>
        <v/>
      </c>
    </row>
    <row r="17">
      <c r="A17" s="3" t="n">
        <v>13</v>
      </c>
      <c r="B17" s="4">
        <f>IFERROR(INDEX('Rank Calc'!$A$5:$A$53,MATCH($A17,'Rank Calc'!$P$5:$P$53,0)),"")</f>
        <v/>
      </c>
      <c r="C17" s="4">
        <f>IFERROR(INDEX('Rank Calc'!$B$5:$B$53,MATCH($A17,'Rank Calc'!$P$5:$P$53,0)),"")</f>
        <v/>
      </c>
      <c r="D17" s="5">
        <f>IFERROR(INDEX('Rank Calc'!$O$5:$O$53,MATCH($A17,'Rank Calc'!$P$5:$P$53,0)),"")</f>
        <v/>
      </c>
      <c r="E17" s="6">
        <f>IFERROR(INDEX('Rank Calc'!$C$5:$C$53,MATCH($A17,'Rank Calc'!$P$5:$P$53,0)),"")</f>
        <v/>
      </c>
      <c r="F17" s="6">
        <f>IFERROR(INDEX('Rank Calc'!$D$5:$D$53,MATCH($A17,'Rank Calc'!$P$5:$P$53,0)),"")</f>
        <v/>
      </c>
      <c r="G17" s="7">
        <f>IFERROR(INDEX('Rank Calc'!$I$5:$I$53,MATCH($A17,'Rank Calc'!$P$5:$P$53,0)),"")</f>
        <v/>
      </c>
      <c r="H17" s="6">
        <f>IFERROR(INDEX('Rank Calc'!$E$5:$E$53,MATCH($A17,'Rank Calc'!$P$5:$P$53,0)),"")</f>
        <v/>
      </c>
      <c r="I17" s="7">
        <f>IFERROR(INDEX('Rank Calc'!$J$5:$J$53,MATCH($A17,'Rank Calc'!$P$5:$P$53,0)),"")</f>
        <v/>
      </c>
      <c r="J17" s="5">
        <f>IFERROR(INDEX('Rank Calc'!$K$5:$K$53,MATCH($A17,'Rank Calc'!$P$5:$P$53,0)),"")</f>
        <v/>
      </c>
      <c r="K17" s="8">
        <f>IFERROR(INDEX('Rank Calc'!$G$5:$G$53,MATCH($A17,'Rank Calc'!$P$5:$P$53,0)),"")</f>
        <v/>
      </c>
      <c r="L17" s="4">
        <f>IFERROR(INDEX('Rank Calc'!$F$5:$F$53,MATCH($A17,'Rank Calc'!$P$5:$P$53,0)),"")</f>
        <v/>
      </c>
      <c r="M17" s="4">
        <f>IFERROR(INDEX('Rank Calc'!$H$5:$H$53,MATCH($A17,'Rank Calc'!$P$5:$P$53,0)),"")</f>
        <v/>
      </c>
    </row>
    <row r="18">
      <c r="A18" s="3" t="n">
        <v>14</v>
      </c>
      <c r="B18" s="4">
        <f>IFERROR(INDEX('Rank Calc'!$A$5:$A$53,MATCH($A18,'Rank Calc'!$P$5:$P$53,0)),"")</f>
        <v/>
      </c>
      <c r="C18" s="4">
        <f>IFERROR(INDEX('Rank Calc'!$B$5:$B$53,MATCH($A18,'Rank Calc'!$P$5:$P$53,0)),"")</f>
        <v/>
      </c>
      <c r="D18" s="5">
        <f>IFERROR(INDEX('Rank Calc'!$O$5:$O$53,MATCH($A18,'Rank Calc'!$P$5:$P$53,0)),"")</f>
        <v/>
      </c>
      <c r="E18" s="6">
        <f>IFERROR(INDEX('Rank Calc'!$C$5:$C$53,MATCH($A18,'Rank Calc'!$P$5:$P$53,0)),"")</f>
        <v/>
      </c>
      <c r="F18" s="6">
        <f>IFERROR(INDEX('Rank Calc'!$D$5:$D$53,MATCH($A18,'Rank Calc'!$P$5:$P$53,0)),"")</f>
        <v/>
      </c>
      <c r="G18" s="7">
        <f>IFERROR(INDEX('Rank Calc'!$I$5:$I$53,MATCH($A18,'Rank Calc'!$P$5:$P$53,0)),"")</f>
        <v/>
      </c>
      <c r="H18" s="6">
        <f>IFERROR(INDEX('Rank Calc'!$E$5:$E$53,MATCH($A18,'Rank Calc'!$P$5:$P$53,0)),"")</f>
        <v/>
      </c>
      <c r="I18" s="7">
        <f>IFERROR(INDEX('Rank Calc'!$J$5:$J$53,MATCH($A18,'Rank Calc'!$P$5:$P$53,0)),"")</f>
        <v/>
      </c>
      <c r="J18" s="5">
        <f>IFERROR(INDEX('Rank Calc'!$K$5:$K$53,MATCH($A18,'Rank Calc'!$P$5:$P$53,0)),"")</f>
        <v/>
      </c>
      <c r="K18" s="8">
        <f>IFERROR(INDEX('Rank Calc'!$G$5:$G$53,MATCH($A18,'Rank Calc'!$P$5:$P$53,0)),"")</f>
        <v/>
      </c>
      <c r="L18" s="4">
        <f>IFERROR(INDEX('Rank Calc'!$F$5:$F$53,MATCH($A18,'Rank Calc'!$P$5:$P$53,0)),"")</f>
        <v/>
      </c>
      <c r="M18" s="4">
        <f>IFERROR(INDEX('Rank Calc'!$H$5:$H$53,MATCH($A18,'Rank Calc'!$P$5:$P$53,0)),"")</f>
        <v/>
      </c>
    </row>
    <row r="19">
      <c r="A19" s="3" t="n">
        <v>15</v>
      </c>
      <c r="B19" s="4">
        <f>IFERROR(INDEX('Rank Calc'!$A$5:$A$53,MATCH($A19,'Rank Calc'!$P$5:$P$53,0)),"")</f>
        <v/>
      </c>
      <c r="C19" s="4">
        <f>IFERROR(INDEX('Rank Calc'!$B$5:$B$53,MATCH($A19,'Rank Calc'!$P$5:$P$53,0)),"")</f>
        <v/>
      </c>
      <c r="D19" s="5">
        <f>IFERROR(INDEX('Rank Calc'!$O$5:$O$53,MATCH($A19,'Rank Calc'!$P$5:$P$53,0)),"")</f>
        <v/>
      </c>
      <c r="E19" s="6">
        <f>IFERROR(INDEX('Rank Calc'!$C$5:$C$53,MATCH($A19,'Rank Calc'!$P$5:$P$53,0)),"")</f>
        <v/>
      </c>
      <c r="F19" s="6">
        <f>IFERROR(INDEX('Rank Calc'!$D$5:$D$53,MATCH($A19,'Rank Calc'!$P$5:$P$53,0)),"")</f>
        <v/>
      </c>
      <c r="G19" s="7">
        <f>IFERROR(INDEX('Rank Calc'!$I$5:$I$53,MATCH($A19,'Rank Calc'!$P$5:$P$53,0)),"")</f>
        <v/>
      </c>
      <c r="H19" s="6">
        <f>IFERROR(INDEX('Rank Calc'!$E$5:$E$53,MATCH($A19,'Rank Calc'!$P$5:$P$53,0)),"")</f>
        <v/>
      </c>
      <c r="I19" s="7">
        <f>IFERROR(INDEX('Rank Calc'!$J$5:$J$53,MATCH($A19,'Rank Calc'!$P$5:$P$53,0)),"")</f>
        <v/>
      </c>
      <c r="J19" s="5">
        <f>IFERROR(INDEX('Rank Calc'!$K$5:$K$53,MATCH($A19,'Rank Calc'!$P$5:$P$53,0)),"")</f>
        <v/>
      </c>
      <c r="K19" s="8">
        <f>IFERROR(INDEX('Rank Calc'!$G$5:$G$53,MATCH($A19,'Rank Calc'!$P$5:$P$53,0)),"")</f>
        <v/>
      </c>
      <c r="L19" s="4">
        <f>IFERROR(INDEX('Rank Calc'!$F$5:$F$53,MATCH($A19,'Rank Calc'!$P$5:$P$53,0)),"")</f>
        <v/>
      </c>
      <c r="M19" s="4">
        <f>IFERROR(INDEX('Rank Calc'!$H$5:$H$53,MATCH($A19,'Rank Calc'!$P$5:$P$53,0)),"")</f>
        <v/>
      </c>
    </row>
    <row r="20">
      <c r="A20" s="3" t="n">
        <v>16</v>
      </c>
      <c r="B20" s="4">
        <f>IFERROR(INDEX('Rank Calc'!$A$5:$A$53,MATCH($A20,'Rank Calc'!$P$5:$P$53,0)),"")</f>
        <v/>
      </c>
      <c r="C20" s="4">
        <f>IFERROR(INDEX('Rank Calc'!$B$5:$B$53,MATCH($A20,'Rank Calc'!$P$5:$P$53,0)),"")</f>
        <v/>
      </c>
      <c r="D20" s="5">
        <f>IFERROR(INDEX('Rank Calc'!$O$5:$O$53,MATCH($A20,'Rank Calc'!$P$5:$P$53,0)),"")</f>
        <v/>
      </c>
      <c r="E20" s="6">
        <f>IFERROR(INDEX('Rank Calc'!$C$5:$C$53,MATCH($A20,'Rank Calc'!$P$5:$P$53,0)),"")</f>
        <v/>
      </c>
      <c r="F20" s="6">
        <f>IFERROR(INDEX('Rank Calc'!$D$5:$D$53,MATCH($A20,'Rank Calc'!$P$5:$P$53,0)),"")</f>
        <v/>
      </c>
      <c r="G20" s="7">
        <f>IFERROR(INDEX('Rank Calc'!$I$5:$I$53,MATCH($A20,'Rank Calc'!$P$5:$P$53,0)),"")</f>
        <v/>
      </c>
      <c r="H20" s="6">
        <f>IFERROR(INDEX('Rank Calc'!$E$5:$E$53,MATCH($A20,'Rank Calc'!$P$5:$P$53,0)),"")</f>
        <v/>
      </c>
      <c r="I20" s="7">
        <f>IFERROR(INDEX('Rank Calc'!$J$5:$J$53,MATCH($A20,'Rank Calc'!$P$5:$P$53,0)),"")</f>
        <v/>
      </c>
      <c r="J20" s="5">
        <f>IFERROR(INDEX('Rank Calc'!$K$5:$K$53,MATCH($A20,'Rank Calc'!$P$5:$P$53,0)),"")</f>
        <v/>
      </c>
      <c r="K20" s="8">
        <f>IFERROR(INDEX('Rank Calc'!$G$5:$G$53,MATCH($A20,'Rank Calc'!$P$5:$P$53,0)),"")</f>
        <v/>
      </c>
      <c r="L20" s="4">
        <f>IFERROR(INDEX('Rank Calc'!$F$5:$F$53,MATCH($A20,'Rank Calc'!$P$5:$P$53,0)),"")</f>
        <v/>
      </c>
      <c r="M20" s="4">
        <f>IFERROR(INDEX('Rank Calc'!$H$5:$H$53,MATCH($A20,'Rank Calc'!$P$5:$P$53,0)),"")</f>
        <v/>
      </c>
    </row>
    <row r="21">
      <c r="A21" s="3" t="n">
        <v>17</v>
      </c>
      <c r="B21" s="4">
        <f>IFERROR(INDEX('Rank Calc'!$A$5:$A$53,MATCH($A21,'Rank Calc'!$P$5:$P$53,0)),"")</f>
        <v/>
      </c>
      <c r="C21" s="4">
        <f>IFERROR(INDEX('Rank Calc'!$B$5:$B$53,MATCH($A21,'Rank Calc'!$P$5:$P$53,0)),"")</f>
        <v/>
      </c>
      <c r="D21" s="5">
        <f>IFERROR(INDEX('Rank Calc'!$O$5:$O$53,MATCH($A21,'Rank Calc'!$P$5:$P$53,0)),"")</f>
        <v/>
      </c>
      <c r="E21" s="6">
        <f>IFERROR(INDEX('Rank Calc'!$C$5:$C$53,MATCH($A21,'Rank Calc'!$P$5:$P$53,0)),"")</f>
        <v/>
      </c>
      <c r="F21" s="6">
        <f>IFERROR(INDEX('Rank Calc'!$D$5:$D$53,MATCH($A21,'Rank Calc'!$P$5:$P$53,0)),"")</f>
        <v/>
      </c>
      <c r="G21" s="7">
        <f>IFERROR(INDEX('Rank Calc'!$I$5:$I$53,MATCH($A21,'Rank Calc'!$P$5:$P$53,0)),"")</f>
        <v/>
      </c>
      <c r="H21" s="6">
        <f>IFERROR(INDEX('Rank Calc'!$E$5:$E$53,MATCH($A21,'Rank Calc'!$P$5:$P$53,0)),"")</f>
        <v/>
      </c>
      <c r="I21" s="7">
        <f>IFERROR(INDEX('Rank Calc'!$J$5:$J$53,MATCH($A21,'Rank Calc'!$P$5:$P$53,0)),"")</f>
        <v/>
      </c>
      <c r="J21" s="5">
        <f>IFERROR(INDEX('Rank Calc'!$K$5:$K$53,MATCH($A21,'Rank Calc'!$P$5:$P$53,0)),"")</f>
        <v/>
      </c>
      <c r="K21" s="8">
        <f>IFERROR(INDEX('Rank Calc'!$G$5:$G$53,MATCH($A21,'Rank Calc'!$P$5:$P$53,0)),"")</f>
        <v/>
      </c>
      <c r="L21" s="4">
        <f>IFERROR(INDEX('Rank Calc'!$F$5:$F$53,MATCH($A21,'Rank Calc'!$P$5:$P$53,0)),"")</f>
        <v/>
      </c>
      <c r="M21" s="4">
        <f>IFERROR(INDEX('Rank Calc'!$H$5:$H$53,MATCH($A21,'Rank Calc'!$P$5:$P$53,0)),"")</f>
        <v/>
      </c>
    </row>
    <row r="22">
      <c r="A22" s="3" t="n">
        <v>18</v>
      </c>
      <c r="B22" s="4">
        <f>IFERROR(INDEX('Rank Calc'!$A$5:$A$53,MATCH($A22,'Rank Calc'!$P$5:$P$53,0)),"")</f>
        <v/>
      </c>
      <c r="C22" s="4">
        <f>IFERROR(INDEX('Rank Calc'!$B$5:$B$53,MATCH($A22,'Rank Calc'!$P$5:$P$53,0)),"")</f>
        <v/>
      </c>
      <c r="D22" s="5">
        <f>IFERROR(INDEX('Rank Calc'!$O$5:$O$53,MATCH($A22,'Rank Calc'!$P$5:$P$53,0)),"")</f>
        <v/>
      </c>
      <c r="E22" s="6">
        <f>IFERROR(INDEX('Rank Calc'!$C$5:$C$53,MATCH($A22,'Rank Calc'!$P$5:$P$53,0)),"")</f>
        <v/>
      </c>
      <c r="F22" s="6">
        <f>IFERROR(INDEX('Rank Calc'!$D$5:$D$53,MATCH($A22,'Rank Calc'!$P$5:$P$53,0)),"")</f>
        <v/>
      </c>
      <c r="G22" s="7">
        <f>IFERROR(INDEX('Rank Calc'!$I$5:$I$53,MATCH($A22,'Rank Calc'!$P$5:$P$53,0)),"")</f>
        <v/>
      </c>
      <c r="H22" s="6">
        <f>IFERROR(INDEX('Rank Calc'!$E$5:$E$53,MATCH($A22,'Rank Calc'!$P$5:$P$53,0)),"")</f>
        <v/>
      </c>
      <c r="I22" s="7">
        <f>IFERROR(INDEX('Rank Calc'!$J$5:$J$53,MATCH($A22,'Rank Calc'!$P$5:$P$53,0)),"")</f>
        <v/>
      </c>
      <c r="J22" s="5">
        <f>IFERROR(INDEX('Rank Calc'!$K$5:$K$53,MATCH($A22,'Rank Calc'!$P$5:$P$53,0)),"")</f>
        <v/>
      </c>
      <c r="K22" s="8">
        <f>IFERROR(INDEX('Rank Calc'!$G$5:$G$53,MATCH($A22,'Rank Calc'!$P$5:$P$53,0)),"")</f>
        <v/>
      </c>
      <c r="L22" s="4">
        <f>IFERROR(INDEX('Rank Calc'!$F$5:$F$53,MATCH($A22,'Rank Calc'!$P$5:$P$53,0)),"")</f>
        <v/>
      </c>
      <c r="M22" s="4">
        <f>IFERROR(INDEX('Rank Calc'!$H$5:$H$53,MATCH($A22,'Rank Calc'!$P$5:$P$53,0)),"")</f>
        <v/>
      </c>
    </row>
    <row r="23">
      <c r="A23" s="3" t="n">
        <v>19</v>
      </c>
      <c r="B23" s="4">
        <f>IFERROR(INDEX('Rank Calc'!$A$5:$A$53,MATCH($A23,'Rank Calc'!$P$5:$P$53,0)),"")</f>
        <v/>
      </c>
      <c r="C23" s="4">
        <f>IFERROR(INDEX('Rank Calc'!$B$5:$B$53,MATCH($A23,'Rank Calc'!$P$5:$P$53,0)),"")</f>
        <v/>
      </c>
      <c r="D23" s="5">
        <f>IFERROR(INDEX('Rank Calc'!$O$5:$O$53,MATCH($A23,'Rank Calc'!$P$5:$P$53,0)),"")</f>
        <v/>
      </c>
      <c r="E23" s="6">
        <f>IFERROR(INDEX('Rank Calc'!$C$5:$C$53,MATCH($A23,'Rank Calc'!$P$5:$P$53,0)),"")</f>
        <v/>
      </c>
      <c r="F23" s="6">
        <f>IFERROR(INDEX('Rank Calc'!$D$5:$D$53,MATCH($A23,'Rank Calc'!$P$5:$P$53,0)),"")</f>
        <v/>
      </c>
      <c r="G23" s="7">
        <f>IFERROR(INDEX('Rank Calc'!$I$5:$I$53,MATCH($A23,'Rank Calc'!$P$5:$P$53,0)),"")</f>
        <v/>
      </c>
      <c r="H23" s="6">
        <f>IFERROR(INDEX('Rank Calc'!$E$5:$E$53,MATCH($A23,'Rank Calc'!$P$5:$P$53,0)),"")</f>
        <v/>
      </c>
      <c r="I23" s="7">
        <f>IFERROR(INDEX('Rank Calc'!$J$5:$J$53,MATCH($A23,'Rank Calc'!$P$5:$P$53,0)),"")</f>
        <v/>
      </c>
      <c r="J23" s="5">
        <f>IFERROR(INDEX('Rank Calc'!$K$5:$K$53,MATCH($A23,'Rank Calc'!$P$5:$P$53,0)),"")</f>
        <v/>
      </c>
      <c r="K23" s="8">
        <f>IFERROR(INDEX('Rank Calc'!$G$5:$G$53,MATCH($A23,'Rank Calc'!$P$5:$P$53,0)),"")</f>
        <v/>
      </c>
      <c r="L23" s="4">
        <f>IFERROR(INDEX('Rank Calc'!$F$5:$F$53,MATCH($A23,'Rank Calc'!$P$5:$P$53,0)),"")</f>
        <v/>
      </c>
      <c r="M23" s="4">
        <f>IFERROR(INDEX('Rank Calc'!$H$5:$H$53,MATCH($A23,'Rank Calc'!$P$5:$P$53,0)),"")</f>
        <v/>
      </c>
    </row>
    <row r="24">
      <c r="A24" s="3" t="n">
        <v>20</v>
      </c>
      <c r="B24" s="4">
        <f>IFERROR(INDEX('Rank Calc'!$A$5:$A$53,MATCH($A24,'Rank Calc'!$P$5:$P$53,0)),"")</f>
        <v/>
      </c>
      <c r="C24" s="4">
        <f>IFERROR(INDEX('Rank Calc'!$B$5:$B$53,MATCH($A24,'Rank Calc'!$P$5:$P$53,0)),"")</f>
        <v/>
      </c>
      <c r="D24" s="5">
        <f>IFERROR(INDEX('Rank Calc'!$O$5:$O$53,MATCH($A24,'Rank Calc'!$P$5:$P$53,0)),"")</f>
        <v/>
      </c>
      <c r="E24" s="6">
        <f>IFERROR(INDEX('Rank Calc'!$C$5:$C$53,MATCH($A24,'Rank Calc'!$P$5:$P$53,0)),"")</f>
        <v/>
      </c>
      <c r="F24" s="6">
        <f>IFERROR(INDEX('Rank Calc'!$D$5:$D$53,MATCH($A24,'Rank Calc'!$P$5:$P$53,0)),"")</f>
        <v/>
      </c>
      <c r="G24" s="7">
        <f>IFERROR(INDEX('Rank Calc'!$I$5:$I$53,MATCH($A24,'Rank Calc'!$P$5:$P$53,0)),"")</f>
        <v/>
      </c>
      <c r="H24" s="6">
        <f>IFERROR(INDEX('Rank Calc'!$E$5:$E$53,MATCH($A24,'Rank Calc'!$P$5:$P$53,0)),"")</f>
        <v/>
      </c>
      <c r="I24" s="7">
        <f>IFERROR(INDEX('Rank Calc'!$J$5:$J$53,MATCH($A24,'Rank Calc'!$P$5:$P$53,0)),"")</f>
        <v/>
      </c>
      <c r="J24" s="5">
        <f>IFERROR(INDEX('Rank Calc'!$K$5:$K$53,MATCH($A24,'Rank Calc'!$P$5:$P$53,0)),"")</f>
        <v/>
      </c>
      <c r="K24" s="8">
        <f>IFERROR(INDEX('Rank Calc'!$G$5:$G$53,MATCH($A24,'Rank Calc'!$P$5:$P$53,0)),"")</f>
        <v/>
      </c>
      <c r="L24" s="4">
        <f>IFERROR(INDEX('Rank Calc'!$F$5:$F$53,MATCH($A24,'Rank Calc'!$P$5:$P$53,0)),"")</f>
        <v/>
      </c>
      <c r="M24" s="4">
        <f>IFERROR(INDEX('Rank Calc'!$H$5:$H$53,MATCH($A24,'Rank Calc'!$P$5:$P$53,0)),"")</f>
        <v/>
      </c>
    </row>
    <row r="25">
      <c r="A25" s="3" t="n">
        <v>21</v>
      </c>
      <c r="B25" s="4">
        <f>IFERROR(INDEX('Rank Calc'!$A$5:$A$53,MATCH($A25,'Rank Calc'!$P$5:$P$53,0)),"")</f>
        <v/>
      </c>
      <c r="C25" s="4">
        <f>IFERROR(INDEX('Rank Calc'!$B$5:$B$53,MATCH($A25,'Rank Calc'!$P$5:$P$53,0)),"")</f>
        <v/>
      </c>
      <c r="D25" s="5">
        <f>IFERROR(INDEX('Rank Calc'!$O$5:$O$53,MATCH($A25,'Rank Calc'!$P$5:$P$53,0)),"")</f>
        <v/>
      </c>
      <c r="E25" s="6">
        <f>IFERROR(INDEX('Rank Calc'!$C$5:$C$53,MATCH($A25,'Rank Calc'!$P$5:$P$53,0)),"")</f>
        <v/>
      </c>
      <c r="F25" s="6">
        <f>IFERROR(INDEX('Rank Calc'!$D$5:$D$53,MATCH($A25,'Rank Calc'!$P$5:$P$53,0)),"")</f>
        <v/>
      </c>
      <c r="G25" s="7">
        <f>IFERROR(INDEX('Rank Calc'!$I$5:$I$53,MATCH($A25,'Rank Calc'!$P$5:$P$53,0)),"")</f>
        <v/>
      </c>
      <c r="H25" s="6">
        <f>IFERROR(INDEX('Rank Calc'!$E$5:$E$53,MATCH($A25,'Rank Calc'!$P$5:$P$53,0)),"")</f>
        <v/>
      </c>
      <c r="I25" s="7">
        <f>IFERROR(INDEX('Rank Calc'!$J$5:$J$53,MATCH($A25,'Rank Calc'!$P$5:$P$53,0)),"")</f>
        <v/>
      </c>
      <c r="J25" s="5">
        <f>IFERROR(INDEX('Rank Calc'!$K$5:$K$53,MATCH($A25,'Rank Calc'!$P$5:$P$53,0)),"")</f>
        <v/>
      </c>
      <c r="K25" s="8">
        <f>IFERROR(INDEX('Rank Calc'!$G$5:$G$53,MATCH($A25,'Rank Calc'!$P$5:$P$53,0)),"")</f>
        <v/>
      </c>
      <c r="L25" s="4">
        <f>IFERROR(INDEX('Rank Calc'!$F$5:$F$53,MATCH($A25,'Rank Calc'!$P$5:$P$53,0)),"")</f>
        <v/>
      </c>
      <c r="M25" s="4">
        <f>IFERROR(INDEX('Rank Calc'!$H$5:$H$53,MATCH($A25,'Rank Calc'!$P$5:$P$53,0)),"")</f>
        <v/>
      </c>
    </row>
    <row r="26">
      <c r="A26" s="3" t="n">
        <v>22</v>
      </c>
      <c r="B26" s="4">
        <f>IFERROR(INDEX('Rank Calc'!$A$5:$A$53,MATCH($A26,'Rank Calc'!$P$5:$P$53,0)),"")</f>
        <v/>
      </c>
      <c r="C26" s="4">
        <f>IFERROR(INDEX('Rank Calc'!$B$5:$B$53,MATCH($A26,'Rank Calc'!$P$5:$P$53,0)),"")</f>
        <v/>
      </c>
      <c r="D26" s="5">
        <f>IFERROR(INDEX('Rank Calc'!$O$5:$O$53,MATCH($A26,'Rank Calc'!$P$5:$P$53,0)),"")</f>
        <v/>
      </c>
      <c r="E26" s="6">
        <f>IFERROR(INDEX('Rank Calc'!$C$5:$C$53,MATCH($A26,'Rank Calc'!$P$5:$P$53,0)),"")</f>
        <v/>
      </c>
      <c r="F26" s="6">
        <f>IFERROR(INDEX('Rank Calc'!$D$5:$D$53,MATCH($A26,'Rank Calc'!$P$5:$P$53,0)),"")</f>
        <v/>
      </c>
      <c r="G26" s="7">
        <f>IFERROR(INDEX('Rank Calc'!$I$5:$I$53,MATCH($A26,'Rank Calc'!$P$5:$P$53,0)),"")</f>
        <v/>
      </c>
      <c r="H26" s="6">
        <f>IFERROR(INDEX('Rank Calc'!$E$5:$E$53,MATCH($A26,'Rank Calc'!$P$5:$P$53,0)),"")</f>
        <v/>
      </c>
      <c r="I26" s="7">
        <f>IFERROR(INDEX('Rank Calc'!$J$5:$J$53,MATCH($A26,'Rank Calc'!$P$5:$P$53,0)),"")</f>
        <v/>
      </c>
      <c r="J26" s="5">
        <f>IFERROR(INDEX('Rank Calc'!$K$5:$K$53,MATCH($A26,'Rank Calc'!$P$5:$P$53,0)),"")</f>
        <v/>
      </c>
      <c r="K26" s="8">
        <f>IFERROR(INDEX('Rank Calc'!$G$5:$G$53,MATCH($A26,'Rank Calc'!$P$5:$P$53,0)),"")</f>
        <v/>
      </c>
      <c r="L26" s="4">
        <f>IFERROR(INDEX('Rank Calc'!$F$5:$F$53,MATCH($A26,'Rank Calc'!$P$5:$P$53,0)),"")</f>
        <v/>
      </c>
      <c r="M26" s="4">
        <f>IFERROR(INDEX('Rank Calc'!$H$5:$H$53,MATCH($A26,'Rank Calc'!$P$5:$P$53,0)),"")</f>
        <v/>
      </c>
    </row>
    <row r="27">
      <c r="A27" s="3" t="n">
        <v>23</v>
      </c>
      <c r="B27" s="4">
        <f>IFERROR(INDEX('Rank Calc'!$A$5:$A$53,MATCH($A27,'Rank Calc'!$P$5:$P$53,0)),"")</f>
        <v/>
      </c>
      <c r="C27" s="4">
        <f>IFERROR(INDEX('Rank Calc'!$B$5:$B$53,MATCH($A27,'Rank Calc'!$P$5:$P$53,0)),"")</f>
        <v/>
      </c>
      <c r="D27" s="5">
        <f>IFERROR(INDEX('Rank Calc'!$O$5:$O$53,MATCH($A27,'Rank Calc'!$P$5:$P$53,0)),"")</f>
        <v/>
      </c>
      <c r="E27" s="6">
        <f>IFERROR(INDEX('Rank Calc'!$C$5:$C$53,MATCH($A27,'Rank Calc'!$P$5:$P$53,0)),"")</f>
        <v/>
      </c>
      <c r="F27" s="6">
        <f>IFERROR(INDEX('Rank Calc'!$D$5:$D$53,MATCH($A27,'Rank Calc'!$P$5:$P$53,0)),"")</f>
        <v/>
      </c>
      <c r="G27" s="7">
        <f>IFERROR(INDEX('Rank Calc'!$I$5:$I$53,MATCH($A27,'Rank Calc'!$P$5:$P$53,0)),"")</f>
        <v/>
      </c>
      <c r="H27" s="6">
        <f>IFERROR(INDEX('Rank Calc'!$E$5:$E$53,MATCH($A27,'Rank Calc'!$P$5:$P$53,0)),"")</f>
        <v/>
      </c>
      <c r="I27" s="7">
        <f>IFERROR(INDEX('Rank Calc'!$J$5:$J$53,MATCH($A27,'Rank Calc'!$P$5:$P$53,0)),"")</f>
        <v/>
      </c>
      <c r="J27" s="5">
        <f>IFERROR(INDEX('Rank Calc'!$K$5:$K$53,MATCH($A27,'Rank Calc'!$P$5:$P$53,0)),"")</f>
        <v/>
      </c>
      <c r="K27" s="8">
        <f>IFERROR(INDEX('Rank Calc'!$G$5:$G$53,MATCH($A27,'Rank Calc'!$P$5:$P$53,0)),"")</f>
        <v/>
      </c>
      <c r="L27" s="4">
        <f>IFERROR(INDEX('Rank Calc'!$F$5:$F$53,MATCH($A27,'Rank Calc'!$P$5:$P$53,0)),"")</f>
        <v/>
      </c>
      <c r="M27" s="4">
        <f>IFERROR(INDEX('Rank Calc'!$H$5:$H$53,MATCH($A27,'Rank Calc'!$P$5:$P$53,0)),"")</f>
        <v/>
      </c>
    </row>
    <row r="28">
      <c r="A28" s="3" t="n">
        <v>24</v>
      </c>
      <c r="B28" s="4">
        <f>IFERROR(INDEX('Rank Calc'!$A$5:$A$53,MATCH($A28,'Rank Calc'!$P$5:$P$53,0)),"")</f>
        <v/>
      </c>
      <c r="C28" s="4">
        <f>IFERROR(INDEX('Rank Calc'!$B$5:$B$53,MATCH($A28,'Rank Calc'!$P$5:$P$53,0)),"")</f>
        <v/>
      </c>
      <c r="D28" s="5">
        <f>IFERROR(INDEX('Rank Calc'!$O$5:$O$53,MATCH($A28,'Rank Calc'!$P$5:$P$53,0)),"")</f>
        <v/>
      </c>
      <c r="E28" s="6">
        <f>IFERROR(INDEX('Rank Calc'!$C$5:$C$53,MATCH($A28,'Rank Calc'!$P$5:$P$53,0)),"")</f>
        <v/>
      </c>
      <c r="F28" s="6">
        <f>IFERROR(INDEX('Rank Calc'!$D$5:$D$53,MATCH($A28,'Rank Calc'!$P$5:$P$53,0)),"")</f>
        <v/>
      </c>
      <c r="G28" s="7">
        <f>IFERROR(INDEX('Rank Calc'!$I$5:$I$53,MATCH($A28,'Rank Calc'!$P$5:$P$53,0)),"")</f>
        <v/>
      </c>
      <c r="H28" s="6">
        <f>IFERROR(INDEX('Rank Calc'!$E$5:$E$53,MATCH($A28,'Rank Calc'!$P$5:$P$53,0)),"")</f>
        <v/>
      </c>
      <c r="I28" s="7">
        <f>IFERROR(INDEX('Rank Calc'!$J$5:$J$53,MATCH($A28,'Rank Calc'!$P$5:$P$53,0)),"")</f>
        <v/>
      </c>
      <c r="J28" s="5">
        <f>IFERROR(INDEX('Rank Calc'!$K$5:$K$53,MATCH($A28,'Rank Calc'!$P$5:$P$53,0)),"")</f>
        <v/>
      </c>
      <c r="K28" s="8">
        <f>IFERROR(INDEX('Rank Calc'!$G$5:$G$53,MATCH($A28,'Rank Calc'!$P$5:$P$53,0)),"")</f>
        <v/>
      </c>
      <c r="L28" s="4">
        <f>IFERROR(INDEX('Rank Calc'!$F$5:$F$53,MATCH($A28,'Rank Calc'!$P$5:$P$53,0)),"")</f>
        <v/>
      </c>
      <c r="M28" s="4">
        <f>IFERROR(INDEX('Rank Calc'!$H$5:$H$53,MATCH($A28,'Rank Calc'!$P$5:$P$53,0)),"")</f>
        <v/>
      </c>
    </row>
    <row r="29">
      <c r="A29" s="3" t="n">
        <v>25</v>
      </c>
      <c r="B29" s="4">
        <f>IFERROR(INDEX('Rank Calc'!$A$5:$A$53,MATCH($A29,'Rank Calc'!$P$5:$P$53,0)),"")</f>
        <v/>
      </c>
      <c r="C29" s="4">
        <f>IFERROR(INDEX('Rank Calc'!$B$5:$B$53,MATCH($A29,'Rank Calc'!$P$5:$P$53,0)),"")</f>
        <v/>
      </c>
      <c r="D29" s="5">
        <f>IFERROR(INDEX('Rank Calc'!$O$5:$O$53,MATCH($A29,'Rank Calc'!$P$5:$P$53,0)),"")</f>
        <v/>
      </c>
      <c r="E29" s="6">
        <f>IFERROR(INDEX('Rank Calc'!$C$5:$C$53,MATCH($A29,'Rank Calc'!$P$5:$P$53,0)),"")</f>
        <v/>
      </c>
      <c r="F29" s="6">
        <f>IFERROR(INDEX('Rank Calc'!$D$5:$D$53,MATCH($A29,'Rank Calc'!$P$5:$P$53,0)),"")</f>
        <v/>
      </c>
      <c r="G29" s="7">
        <f>IFERROR(INDEX('Rank Calc'!$I$5:$I$53,MATCH($A29,'Rank Calc'!$P$5:$P$53,0)),"")</f>
        <v/>
      </c>
      <c r="H29" s="6">
        <f>IFERROR(INDEX('Rank Calc'!$E$5:$E$53,MATCH($A29,'Rank Calc'!$P$5:$P$53,0)),"")</f>
        <v/>
      </c>
      <c r="I29" s="7">
        <f>IFERROR(INDEX('Rank Calc'!$J$5:$J$53,MATCH($A29,'Rank Calc'!$P$5:$P$53,0)),"")</f>
        <v/>
      </c>
      <c r="J29" s="5">
        <f>IFERROR(INDEX('Rank Calc'!$K$5:$K$53,MATCH($A29,'Rank Calc'!$P$5:$P$53,0)),"")</f>
        <v/>
      </c>
      <c r="K29" s="8">
        <f>IFERROR(INDEX('Rank Calc'!$G$5:$G$53,MATCH($A29,'Rank Calc'!$P$5:$P$53,0)),"")</f>
        <v/>
      </c>
      <c r="L29" s="4">
        <f>IFERROR(INDEX('Rank Calc'!$F$5:$F$53,MATCH($A29,'Rank Calc'!$P$5:$P$53,0)),"")</f>
        <v/>
      </c>
      <c r="M29" s="4">
        <f>IFERROR(INDEX('Rank Calc'!$H$5:$H$53,MATCH($A29,'Rank Calc'!$P$5:$P$53,0)),"")</f>
        <v/>
      </c>
    </row>
    <row r="30">
      <c r="A30" s="3" t="n">
        <v>26</v>
      </c>
      <c r="B30" s="4">
        <f>IFERROR(INDEX('Rank Calc'!$A$5:$A$53,MATCH($A30,'Rank Calc'!$P$5:$P$53,0)),"")</f>
        <v/>
      </c>
      <c r="C30" s="4">
        <f>IFERROR(INDEX('Rank Calc'!$B$5:$B$53,MATCH($A30,'Rank Calc'!$P$5:$P$53,0)),"")</f>
        <v/>
      </c>
      <c r="D30" s="5">
        <f>IFERROR(INDEX('Rank Calc'!$O$5:$O$53,MATCH($A30,'Rank Calc'!$P$5:$P$53,0)),"")</f>
        <v/>
      </c>
      <c r="E30" s="6">
        <f>IFERROR(INDEX('Rank Calc'!$C$5:$C$53,MATCH($A30,'Rank Calc'!$P$5:$P$53,0)),"")</f>
        <v/>
      </c>
      <c r="F30" s="6">
        <f>IFERROR(INDEX('Rank Calc'!$D$5:$D$53,MATCH($A30,'Rank Calc'!$P$5:$P$53,0)),"")</f>
        <v/>
      </c>
      <c r="G30" s="7">
        <f>IFERROR(INDEX('Rank Calc'!$I$5:$I$53,MATCH($A30,'Rank Calc'!$P$5:$P$53,0)),"")</f>
        <v/>
      </c>
      <c r="H30" s="6">
        <f>IFERROR(INDEX('Rank Calc'!$E$5:$E$53,MATCH($A30,'Rank Calc'!$P$5:$P$53,0)),"")</f>
        <v/>
      </c>
      <c r="I30" s="7">
        <f>IFERROR(INDEX('Rank Calc'!$J$5:$J$53,MATCH($A30,'Rank Calc'!$P$5:$P$53,0)),"")</f>
        <v/>
      </c>
      <c r="J30" s="5">
        <f>IFERROR(INDEX('Rank Calc'!$K$5:$K$53,MATCH($A30,'Rank Calc'!$P$5:$P$53,0)),"")</f>
        <v/>
      </c>
      <c r="K30" s="8">
        <f>IFERROR(INDEX('Rank Calc'!$G$5:$G$53,MATCH($A30,'Rank Calc'!$P$5:$P$53,0)),"")</f>
        <v/>
      </c>
      <c r="L30" s="4">
        <f>IFERROR(INDEX('Rank Calc'!$F$5:$F$53,MATCH($A30,'Rank Calc'!$P$5:$P$53,0)),"")</f>
        <v/>
      </c>
      <c r="M30" s="4">
        <f>IFERROR(INDEX('Rank Calc'!$H$5:$H$53,MATCH($A30,'Rank Calc'!$P$5:$P$53,0)),"")</f>
        <v/>
      </c>
    </row>
    <row r="31">
      <c r="A31" s="3" t="n">
        <v>27</v>
      </c>
      <c r="B31" s="4">
        <f>IFERROR(INDEX('Rank Calc'!$A$5:$A$53,MATCH($A31,'Rank Calc'!$P$5:$P$53,0)),"")</f>
        <v/>
      </c>
      <c r="C31" s="4">
        <f>IFERROR(INDEX('Rank Calc'!$B$5:$B$53,MATCH($A31,'Rank Calc'!$P$5:$P$53,0)),"")</f>
        <v/>
      </c>
      <c r="D31" s="5">
        <f>IFERROR(INDEX('Rank Calc'!$O$5:$O$53,MATCH($A31,'Rank Calc'!$P$5:$P$53,0)),"")</f>
        <v/>
      </c>
      <c r="E31" s="6">
        <f>IFERROR(INDEX('Rank Calc'!$C$5:$C$53,MATCH($A31,'Rank Calc'!$P$5:$P$53,0)),"")</f>
        <v/>
      </c>
      <c r="F31" s="6">
        <f>IFERROR(INDEX('Rank Calc'!$D$5:$D$53,MATCH($A31,'Rank Calc'!$P$5:$P$53,0)),"")</f>
        <v/>
      </c>
      <c r="G31" s="7">
        <f>IFERROR(INDEX('Rank Calc'!$I$5:$I$53,MATCH($A31,'Rank Calc'!$P$5:$P$53,0)),"")</f>
        <v/>
      </c>
      <c r="H31" s="6">
        <f>IFERROR(INDEX('Rank Calc'!$E$5:$E$53,MATCH($A31,'Rank Calc'!$P$5:$P$53,0)),"")</f>
        <v/>
      </c>
      <c r="I31" s="7">
        <f>IFERROR(INDEX('Rank Calc'!$J$5:$J$53,MATCH($A31,'Rank Calc'!$P$5:$P$53,0)),"")</f>
        <v/>
      </c>
      <c r="J31" s="5">
        <f>IFERROR(INDEX('Rank Calc'!$K$5:$K$53,MATCH($A31,'Rank Calc'!$P$5:$P$53,0)),"")</f>
        <v/>
      </c>
      <c r="K31" s="8">
        <f>IFERROR(INDEX('Rank Calc'!$G$5:$G$53,MATCH($A31,'Rank Calc'!$P$5:$P$53,0)),"")</f>
        <v/>
      </c>
      <c r="L31" s="4">
        <f>IFERROR(INDEX('Rank Calc'!$F$5:$F$53,MATCH($A31,'Rank Calc'!$P$5:$P$53,0)),"")</f>
        <v/>
      </c>
      <c r="M31" s="4">
        <f>IFERROR(INDEX('Rank Calc'!$H$5:$H$53,MATCH($A31,'Rank Calc'!$P$5:$P$53,0)),"")</f>
        <v/>
      </c>
    </row>
    <row r="32">
      <c r="A32" s="3" t="n">
        <v>28</v>
      </c>
      <c r="B32" s="4">
        <f>IFERROR(INDEX('Rank Calc'!$A$5:$A$53,MATCH($A32,'Rank Calc'!$P$5:$P$53,0)),"")</f>
        <v/>
      </c>
      <c r="C32" s="4">
        <f>IFERROR(INDEX('Rank Calc'!$B$5:$B$53,MATCH($A32,'Rank Calc'!$P$5:$P$53,0)),"")</f>
        <v/>
      </c>
      <c r="D32" s="5">
        <f>IFERROR(INDEX('Rank Calc'!$O$5:$O$53,MATCH($A32,'Rank Calc'!$P$5:$P$53,0)),"")</f>
        <v/>
      </c>
      <c r="E32" s="6">
        <f>IFERROR(INDEX('Rank Calc'!$C$5:$C$53,MATCH($A32,'Rank Calc'!$P$5:$P$53,0)),"")</f>
        <v/>
      </c>
      <c r="F32" s="6">
        <f>IFERROR(INDEX('Rank Calc'!$D$5:$D$53,MATCH($A32,'Rank Calc'!$P$5:$P$53,0)),"")</f>
        <v/>
      </c>
      <c r="G32" s="7">
        <f>IFERROR(INDEX('Rank Calc'!$I$5:$I$53,MATCH($A32,'Rank Calc'!$P$5:$P$53,0)),"")</f>
        <v/>
      </c>
      <c r="H32" s="6">
        <f>IFERROR(INDEX('Rank Calc'!$E$5:$E$53,MATCH($A32,'Rank Calc'!$P$5:$P$53,0)),"")</f>
        <v/>
      </c>
      <c r="I32" s="7">
        <f>IFERROR(INDEX('Rank Calc'!$J$5:$J$53,MATCH($A32,'Rank Calc'!$P$5:$P$53,0)),"")</f>
        <v/>
      </c>
      <c r="J32" s="5">
        <f>IFERROR(INDEX('Rank Calc'!$K$5:$K$53,MATCH($A32,'Rank Calc'!$P$5:$P$53,0)),"")</f>
        <v/>
      </c>
      <c r="K32" s="8">
        <f>IFERROR(INDEX('Rank Calc'!$G$5:$G$53,MATCH($A32,'Rank Calc'!$P$5:$P$53,0)),"")</f>
        <v/>
      </c>
      <c r="L32" s="4">
        <f>IFERROR(INDEX('Rank Calc'!$F$5:$F$53,MATCH($A32,'Rank Calc'!$P$5:$P$53,0)),"")</f>
        <v/>
      </c>
      <c r="M32" s="4">
        <f>IFERROR(INDEX('Rank Calc'!$H$5:$H$53,MATCH($A32,'Rank Calc'!$P$5:$P$53,0)),"")</f>
        <v/>
      </c>
    </row>
    <row r="33">
      <c r="A33" s="3" t="n">
        <v>29</v>
      </c>
      <c r="B33" s="4">
        <f>IFERROR(INDEX('Rank Calc'!$A$5:$A$53,MATCH($A33,'Rank Calc'!$P$5:$P$53,0)),"")</f>
        <v/>
      </c>
      <c r="C33" s="4">
        <f>IFERROR(INDEX('Rank Calc'!$B$5:$B$53,MATCH($A33,'Rank Calc'!$P$5:$P$53,0)),"")</f>
        <v/>
      </c>
      <c r="D33" s="5">
        <f>IFERROR(INDEX('Rank Calc'!$O$5:$O$53,MATCH($A33,'Rank Calc'!$P$5:$P$53,0)),"")</f>
        <v/>
      </c>
      <c r="E33" s="6">
        <f>IFERROR(INDEX('Rank Calc'!$C$5:$C$53,MATCH($A33,'Rank Calc'!$P$5:$P$53,0)),"")</f>
        <v/>
      </c>
      <c r="F33" s="6">
        <f>IFERROR(INDEX('Rank Calc'!$D$5:$D$53,MATCH($A33,'Rank Calc'!$P$5:$P$53,0)),"")</f>
        <v/>
      </c>
      <c r="G33" s="7">
        <f>IFERROR(INDEX('Rank Calc'!$I$5:$I$53,MATCH($A33,'Rank Calc'!$P$5:$P$53,0)),"")</f>
        <v/>
      </c>
      <c r="H33" s="6">
        <f>IFERROR(INDEX('Rank Calc'!$E$5:$E$53,MATCH($A33,'Rank Calc'!$P$5:$P$53,0)),"")</f>
        <v/>
      </c>
      <c r="I33" s="7">
        <f>IFERROR(INDEX('Rank Calc'!$J$5:$J$53,MATCH($A33,'Rank Calc'!$P$5:$P$53,0)),"")</f>
        <v/>
      </c>
      <c r="J33" s="5">
        <f>IFERROR(INDEX('Rank Calc'!$K$5:$K$53,MATCH($A33,'Rank Calc'!$P$5:$P$53,0)),"")</f>
        <v/>
      </c>
      <c r="K33" s="8">
        <f>IFERROR(INDEX('Rank Calc'!$G$5:$G$53,MATCH($A33,'Rank Calc'!$P$5:$P$53,0)),"")</f>
        <v/>
      </c>
      <c r="L33" s="4">
        <f>IFERROR(INDEX('Rank Calc'!$F$5:$F$53,MATCH($A33,'Rank Calc'!$P$5:$P$53,0)),"")</f>
        <v/>
      </c>
      <c r="M33" s="4">
        <f>IFERROR(INDEX('Rank Calc'!$H$5:$H$53,MATCH($A33,'Rank Calc'!$P$5:$P$53,0)),"")</f>
        <v/>
      </c>
    </row>
    <row r="34">
      <c r="A34" s="3" t="n">
        <v>30</v>
      </c>
      <c r="B34" s="4">
        <f>IFERROR(INDEX('Rank Calc'!$A$5:$A$53,MATCH($A34,'Rank Calc'!$P$5:$P$53,0)),"")</f>
        <v/>
      </c>
      <c r="C34" s="4">
        <f>IFERROR(INDEX('Rank Calc'!$B$5:$B$53,MATCH($A34,'Rank Calc'!$P$5:$P$53,0)),"")</f>
        <v/>
      </c>
      <c r="D34" s="5">
        <f>IFERROR(INDEX('Rank Calc'!$O$5:$O$53,MATCH($A34,'Rank Calc'!$P$5:$P$53,0)),"")</f>
        <v/>
      </c>
      <c r="E34" s="6">
        <f>IFERROR(INDEX('Rank Calc'!$C$5:$C$53,MATCH($A34,'Rank Calc'!$P$5:$P$53,0)),"")</f>
        <v/>
      </c>
      <c r="F34" s="6">
        <f>IFERROR(INDEX('Rank Calc'!$D$5:$D$53,MATCH($A34,'Rank Calc'!$P$5:$P$53,0)),"")</f>
        <v/>
      </c>
      <c r="G34" s="7">
        <f>IFERROR(INDEX('Rank Calc'!$I$5:$I$53,MATCH($A34,'Rank Calc'!$P$5:$P$53,0)),"")</f>
        <v/>
      </c>
      <c r="H34" s="6">
        <f>IFERROR(INDEX('Rank Calc'!$E$5:$E$53,MATCH($A34,'Rank Calc'!$P$5:$P$53,0)),"")</f>
        <v/>
      </c>
      <c r="I34" s="7">
        <f>IFERROR(INDEX('Rank Calc'!$J$5:$J$53,MATCH($A34,'Rank Calc'!$P$5:$P$53,0)),"")</f>
        <v/>
      </c>
      <c r="J34" s="5">
        <f>IFERROR(INDEX('Rank Calc'!$K$5:$K$53,MATCH($A34,'Rank Calc'!$P$5:$P$53,0)),"")</f>
        <v/>
      </c>
      <c r="K34" s="8">
        <f>IFERROR(INDEX('Rank Calc'!$G$5:$G$53,MATCH($A34,'Rank Calc'!$P$5:$P$53,0)),"")</f>
        <v/>
      </c>
      <c r="L34" s="4">
        <f>IFERROR(INDEX('Rank Calc'!$F$5:$F$53,MATCH($A34,'Rank Calc'!$P$5:$P$53,0)),"")</f>
        <v/>
      </c>
      <c r="M34" s="4">
        <f>IFERROR(INDEX('Rank Calc'!$H$5:$H$53,MATCH($A34,'Rank Calc'!$P$5:$P$53,0)),"")</f>
        <v/>
      </c>
    </row>
    <row r="35">
      <c r="A35" s="3" t="n">
        <v>31</v>
      </c>
      <c r="B35" s="4">
        <f>IFERROR(INDEX('Rank Calc'!$A$5:$A$53,MATCH($A35,'Rank Calc'!$P$5:$P$53,0)),"")</f>
        <v/>
      </c>
      <c r="C35" s="4">
        <f>IFERROR(INDEX('Rank Calc'!$B$5:$B$53,MATCH($A35,'Rank Calc'!$P$5:$P$53,0)),"")</f>
        <v/>
      </c>
      <c r="D35" s="5">
        <f>IFERROR(INDEX('Rank Calc'!$O$5:$O$53,MATCH($A35,'Rank Calc'!$P$5:$P$53,0)),"")</f>
        <v/>
      </c>
      <c r="E35" s="6">
        <f>IFERROR(INDEX('Rank Calc'!$C$5:$C$53,MATCH($A35,'Rank Calc'!$P$5:$P$53,0)),"")</f>
        <v/>
      </c>
      <c r="F35" s="6">
        <f>IFERROR(INDEX('Rank Calc'!$D$5:$D$53,MATCH($A35,'Rank Calc'!$P$5:$P$53,0)),"")</f>
        <v/>
      </c>
      <c r="G35" s="7">
        <f>IFERROR(INDEX('Rank Calc'!$I$5:$I$53,MATCH($A35,'Rank Calc'!$P$5:$P$53,0)),"")</f>
        <v/>
      </c>
      <c r="H35" s="6">
        <f>IFERROR(INDEX('Rank Calc'!$E$5:$E$53,MATCH($A35,'Rank Calc'!$P$5:$P$53,0)),"")</f>
        <v/>
      </c>
      <c r="I35" s="7">
        <f>IFERROR(INDEX('Rank Calc'!$J$5:$J$53,MATCH($A35,'Rank Calc'!$P$5:$P$53,0)),"")</f>
        <v/>
      </c>
      <c r="J35" s="5">
        <f>IFERROR(INDEX('Rank Calc'!$K$5:$K$53,MATCH($A35,'Rank Calc'!$P$5:$P$53,0)),"")</f>
        <v/>
      </c>
      <c r="K35" s="8">
        <f>IFERROR(INDEX('Rank Calc'!$G$5:$G$53,MATCH($A35,'Rank Calc'!$P$5:$P$53,0)),"")</f>
        <v/>
      </c>
      <c r="L35" s="4">
        <f>IFERROR(INDEX('Rank Calc'!$F$5:$F$53,MATCH($A35,'Rank Calc'!$P$5:$P$53,0)),"")</f>
        <v/>
      </c>
      <c r="M35" s="4">
        <f>IFERROR(INDEX('Rank Calc'!$H$5:$H$53,MATCH($A35,'Rank Calc'!$P$5:$P$53,0)),"")</f>
        <v/>
      </c>
    </row>
    <row r="36">
      <c r="A36" s="3" t="n">
        <v>32</v>
      </c>
      <c r="B36" s="4">
        <f>IFERROR(INDEX('Rank Calc'!$A$5:$A$53,MATCH($A36,'Rank Calc'!$P$5:$P$53,0)),"")</f>
        <v/>
      </c>
      <c r="C36" s="4">
        <f>IFERROR(INDEX('Rank Calc'!$B$5:$B$53,MATCH($A36,'Rank Calc'!$P$5:$P$53,0)),"")</f>
        <v/>
      </c>
      <c r="D36" s="5">
        <f>IFERROR(INDEX('Rank Calc'!$O$5:$O$53,MATCH($A36,'Rank Calc'!$P$5:$P$53,0)),"")</f>
        <v/>
      </c>
      <c r="E36" s="6">
        <f>IFERROR(INDEX('Rank Calc'!$C$5:$C$53,MATCH($A36,'Rank Calc'!$P$5:$P$53,0)),"")</f>
        <v/>
      </c>
      <c r="F36" s="6">
        <f>IFERROR(INDEX('Rank Calc'!$D$5:$D$53,MATCH($A36,'Rank Calc'!$P$5:$P$53,0)),"")</f>
        <v/>
      </c>
      <c r="G36" s="7">
        <f>IFERROR(INDEX('Rank Calc'!$I$5:$I$53,MATCH($A36,'Rank Calc'!$P$5:$P$53,0)),"")</f>
        <v/>
      </c>
      <c r="H36" s="6">
        <f>IFERROR(INDEX('Rank Calc'!$E$5:$E$53,MATCH($A36,'Rank Calc'!$P$5:$P$53,0)),"")</f>
        <v/>
      </c>
      <c r="I36" s="7">
        <f>IFERROR(INDEX('Rank Calc'!$J$5:$J$53,MATCH($A36,'Rank Calc'!$P$5:$P$53,0)),"")</f>
        <v/>
      </c>
      <c r="J36" s="5">
        <f>IFERROR(INDEX('Rank Calc'!$K$5:$K$53,MATCH($A36,'Rank Calc'!$P$5:$P$53,0)),"")</f>
        <v/>
      </c>
      <c r="K36" s="8">
        <f>IFERROR(INDEX('Rank Calc'!$G$5:$G$53,MATCH($A36,'Rank Calc'!$P$5:$P$53,0)),"")</f>
        <v/>
      </c>
      <c r="L36" s="4">
        <f>IFERROR(INDEX('Rank Calc'!$F$5:$F$53,MATCH($A36,'Rank Calc'!$P$5:$P$53,0)),"")</f>
        <v/>
      </c>
      <c r="M36" s="4">
        <f>IFERROR(INDEX('Rank Calc'!$H$5:$H$53,MATCH($A36,'Rank Calc'!$P$5:$P$53,0)),"")</f>
        <v/>
      </c>
    </row>
    <row r="37">
      <c r="A37" s="3" t="n">
        <v>33</v>
      </c>
      <c r="B37" s="4">
        <f>IFERROR(INDEX('Rank Calc'!$A$5:$A$53,MATCH($A37,'Rank Calc'!$P$5:$P$53,0)),"")</f>
        <v/>
      </c>
      <c r="C37" s="4">
        <f>IFERROR(INDEX('Rank Calc'!$B$5:$B$53,MATCH($A37,'Rank Calc'!$P$5:$P$53,0)),"")</f>
        <v/>
      </c>
      <c r="D37" s="5">
        <f>IFERROR(INDEX('Rank Calc'!$O$5:$O$53,MATCH($A37,'Rank Calc'!$P$5:$P$53,0)),"")</f>
        <v/>
      </c>
      <c r="E37" s="6">
        <f>IFERROR(INDEX('Rank Calc'!$C$5:$C$53,MATCH($A37,'Rank Calc'!$P$5:$P$53,0)),"")</f>
        <v/>
      </c>
      <c r="F37" s="6">
        <f>IFERROR(INDEX('Rank Calc'!$D$5:$D$53,MATCH($A37,'Rank Calc'!$P$5:$P$53,0)),"")</f>
        <v/>
      </c>
      <c r="G37" s="7">
        <f>IFERROR(INDEX('Rank Calc'!$I$5:$I$53,MATCH($A37,'Rank Calc'!$P$5:$P$53,0)),"")</f>
        <v/>
      </c>
      <c r="H37" s="6">
        <f>IFERROR(INDEX('Rank Calc'!$E$5:$E$53,MATCH($A37,'Rank Calc'!$P$5:$P$53,0)),"")</f>
        <v/>
      </c>
      <c r="I37" s="7">
        <f>IFERROR(INDEX('Rank Calc'!$J$5:$J$53,MATCH($A37,'Rank Calc'!$P$5:$P$53,0)),"")</f>
        <v/>
      </c>
      <c r="J37" s="5">
        <f>IFERROR(INDEX('Rank Calc'!$K$5:$K$53,MATCH($A37,'Rank Calc'!$P$5:$P$53,0)),"")</f>
        <v/>
      </c>
      <c r="K37" s="8">
        <f>IFERROR(INDEX('Rank Calc'!$G$5:$G$53,MATCH($A37,'Rank Calc'!$P$5:$P$53,0)),"")</f>
        <v/>
      </c>
      <c r="L37" s="4">
        <f>IFERROR(INDEX('Rank Calc'!$F$5:$F$53,MATCH($A37,'Rank Calc'!$P$5:$P$53,0)),"")</f>
        <v/>
      </c>
      <c r="M37" s="4">
        <f>IFERROR(INDEX('Rank Calc'!$H$5:$H$53,MATCH($A37,'Rank Calc'!$P$5:$P$53,0)),"")</f>
        <v/>
      </c>
    </row>
    <row r="38">
      <c r="A38" s="3" t="n">
        <v>34</v>
      </c>
      <c r="B38" s="4">
        <f>IFERROR(INDEX('Rank Calc'!$A$5:$A$53,MATCH($A38,'Rank Calc'!$P$5:$P$53,0)),"")</f>
        <v/>
      </c>
      <c r="C38" s="4">
        <f>IFERROR(INDEX('Rank Calc'!$B$5:$B$53,MATCH($A38,'Rank Calc'!$P$5:$P$53,0)),"")</f>
        <v/>
      </c>
      <c r="D38" s="5">
        <f>IFERROR(INDEX('Rank Calc'!$O$5:$O$53,MATCH($A38,'Rank Calc'!$P$5:$P$53,0)),"")</f>
        <v/>
      </c>
      <c r="E38" s="6">
        <f>IFERROR(INDEX('Rank Calc'!$C$5:$C$53,MATCH($A38,'Rank Calc'!$P$5:$P$53,0)),"")</f>
        <v/>
      </c>
      <c r="F38" s="6">
        <f>IFERROR(INDEX('Rank Calc'!$D$5:$D$53,MATCH($A38,'Rank Calc'!$P$5:$P$53,0)),"")</f>
        <v/>
      </c>
      <c r="G38" s="7">
        <f>IFERROR(INDEX('Rank Calc'!$I$5:$I$53,MATCH($A38,'Rank Calc'!$P$5:$P$53,0)),"")</f>
        <v/>
      </c>
      <c r="H38" s="6">
        <f>IFERROR(INDEX('Rank Calc'!$E$5:$E$53,MATCH($A38,'Rank Calc'!$P$5:$P$53,0)),"")</f>
        <v/>
      </c>
      <c r="I38" s="7">
        <f>IFERROR(INDEX('Rank Calc'!$J$5:$J$53,MATCH($A38,'Rank Calc'!$P$5:$P$53,0)),"")</f>
        <v/>
      </c>
      <c r="J38" s="5">
        <f>IFERROR(INDEX('Rank Calc'!$K$5:$K$53,MATCH($A38,'Rank Calc'!$P$5:$P$53,0)),"")</f>
        <v/>
      </c>
      <c r="K38" s="8">
        <f>IFERROR(INDEX('Rank Calc'!$G$5:$G$53,MATCH($A38,'Rank Calc'!$P$5:$P$53,0)),"")</f>
        <v/>
      </c>
      <c r="L38" s="4">
        <f>IFERROR(INDEX('Rank Calc'!$F$5:$F$53,MATCH($A38,'Rank Calc'!$P$5:$P$53,0)),"")</f>
        <v/>
      </c>
      <c r="M38" s="4">
        <f>IFERROR(INDEX('Rank Calc'!$H$5:$H$53,MATCH($A38,'Rank Calc'!$P$5:$P$53,0)),"")</f>
        <v/>
      </c>
    </row>
    <row r="39">
      <c r="A39" s="3" t="n">
        <v>35</v>
      </c>
      <c r="B39" s="4">
        <f>IFERROR(INDEX('Rank Calc'!$A$5:$A$53,MATCH($A39,'Rank Calc'!$P$5:$P$53,0)),"")</f>
        <v/>
      </c>
      <c r="C39" s="4">
        <f>IFERROR(INDEX('Rank Calc'!$B$5:$B$53,MATCH($A39,'Rank Calc'!$P$5:$P$53,0)),"")</f>
        <v/>
      </c>
      <c r="D39" s="5">
        <f>IFERROR(INDEX('Rank Calc'!$O$5:$O$53,MATCH($A39,'Rank Calc'!$P$5:$P$53,0)),"")</f>
        <v/>
      </c>
      <c r="E39" s="6">
        <f>IFERROR(INDEX('Rank Calc'!$C$5:$C$53,MATCH($A39,'Rank Calc'!$P$5:$P$53,0)),"")</f>
        <v/>
      </c>
      <c r="F39" s="6">
        <f>IFERROR(INDEX('Rank Calc'!$D$5:$D$53,MATCH($A39,'Rank Calc'!$P$5:$P$53,0)),"")</f>
        <v/>
      </c>
      <c r="G39" s="7">
        <f>IFERROR(INDEX('Rank Calc'!$I$5:$I$53,MATCH($A39,'Rank Calc'!$P$5:$P$53,0)),"")</f>
        <v/>
      </c>
      <c r="H39" s="6">
        <f>IFERROR(INDEX('Rank Calc'!$E$5:$E$53,MATCH($A39,'Rank Calc'!$P$5:$P$53,0)),"")</f>
        <v/>
      </c>
      <c r="I39" s="7">
        <f>IFERROR(INDEX('Rank Calc'!$J$5:$J$53,MATCH($A39,'Rank Calc'!$P$5:$P$53,0)),"")</f>
        <v/>
      </c>
      <c r="J39" s="5">
        <f>IFERROR(INDEX('Rank Calc'!$K$5:$K$53,MATCH($A39,'Rank Calc'!$P$5:$P$53,0)),"")</f>
        <v/>
      </c>
      <c r="K39" s="8">
        <f>IFERROR(INDEX('Rank Calc'!$G$5:$G$53,MATCH($A39,'Rank Calc'!$P$5:$P$53,0)),"")</f>
        <v/>
      </c>
      <c r="L39" s="4">
        <f>IFERROR(INDEX('Rank Calc'!$F$5:$F$53,MATCH($A39,'Rank Calc'!$P$5:$P$53,0)),"")</f>
        <v/>
      </c>
      <c r="M39" s="4">
        <f>IFERROR(INDEX('Rank Calc'!$H$5:$H$53,MATCH($A39,'Rank Calc'!$P$5:$P$53,0)),"")</f>
        <v/>
      </c>
    </row>
    <row r="40">
      <c r="A40" s="3" t="n">
        <v>36</v>
      </c>
      <c r="B40" s="4">
        <f>IFERROR(INDEX('Rank Calc'!$A$5:$A$53,MATCH($A40,'Rank Calc'!$P$5:$P$53,0)),"")</f>
        <v/>
      </c>
      <c r="C40" s="4">
        <f>IFERROR(INDEX('Rank Calc'!$B$5:$B$53,MATCH($A40,'Rank Calc'!$P$5:$P$53,0)),"")</f>
        <v/>
      </c>
      <c r="D40" s="5">
        <f>IFERROR(INDEX('Rank Calc'!$O$5:$O$53,MATCH($A40,'Rank Calc'!$P$5:$P$53,0)),"")</f>
        <v/>
      </c>
      <c r="E40" s="6">
        <f>IFERROR(INDEX('Rank Calc'!$C$5:$C$53,MATCH($A40,'Rank Calc'!$P$5:$P$53,0)),"")</f>
        <v/>
      </c>
      <c r="F40" s="6">
        <f>IFERROR(INDEX('Rank Calc'!$D$5:$D$53,MATCH($A40,'Rank Calc'!$P$5:$P$53,0)),"")</f>
        <v/>
      </c>
      <c r="G40" s="7">
        <f>IFERROR(INDEX('Rank Calc'!$I$5:$I$53,MATCH($A40,'Rank Calc'!$P$5:$P$53,0)),"")</f>
        <v/>
      </c>
      <c r="H40" s="6">
        <f>IFERROR(INDEX('Rank Calc'!$E$5:$E$53,MATCH($A40,'Rank Calc'!$P$5:$P$53,0)),"")</f>
        <v/>
      </c>
      <c r="I40" s="7">
        <f>IFERROR(INDEX('Rank Calc'!$J$5:$J$53,MATCH($A40,'Rank Calc'!$P$5:$P$53,0)),"")</f>
        <v/>
      </c>
      <c r="J40" s="5">
        <f>IFERROR(INDEX('Rank Calc'!$K$5:$K$53,MATCH($A40,'Rank Calc'!$P$5:$P$53,0)),"")</f>
        <v/>
      </c>
      <c r="K40" s="8">
        <f>IFERROR(INDEX('Rank Calc'!$G$5:$G$53,MATCH($A40,'Rank Calc'!$P$5:$P$53,0)),"")</f>
        <v/>
      </c>
      <c r="L40" s="4">
        <f>IFERROR(INDEX('Rank Calc'!$F$5:$F$53,MATCH($A40,'Rank Calc'!$P$5:$P$53,0)),"")</f>
        <v/>
      </c>
      <c r="M40" s="4">
        <f>IFERROR(INDEX('Rank Calc'!$H$5:$H$53,MATCH($A40,'Rank Calc'!$P$5:$P$53,0)),"")</f>
        <v/>
      </c>
    </row>
    <row r="41">
      <c r="A41" s="3" t="n">
        <v>37</v>
      </c>
      <c r="B41" s="4">
        <f>IFERROR(INDEX('Rank Calc'!$A$5:$A$53,MATCH($A41,'Rank Calc'!$P$5:$P$53,0)),"")</f>
        <v/>
      </c>
      <c r="C41" s="4">
        <f>IFERROR(INDEX('Rank Calc'!$B$5:$B$53,MATCH($A41,'Rank Calc'!$P$5:$P$53,0)),"")</f>
        <v/>
      </c>
      <c r="D41" s="5">
        <f>IFERROR(INDEX('Rank Calc'!$O$5:$O$53,MATCH($A41,'Rank Calc'!$P$5:$P$53,0)),"")</f>
        <v/>
      </c>
      <c r="E41" s="6">
        <f>IFERROR(INDEX('Rank Calc'!$C$5:$C$53,MATCH($A41,'Rank Calc'!$P$5:$P$53,0)),"")</f>
        <v/>
      </c>
      <c r="F41" s="6">
        <f>IFERROR(INDEX('Rank Calc'!$D$5:$D$53,MATCH($A41,'Rank Calc'!$P$5:$P$53,0)),"")</f>
        <v/>
      </c>
      <c r="G41" s="7">
        <f>IFERROR(INDEX('Rank Calc'!$I$5:$I$53,MATCH($A41,'Rank Calc'!$P$5:$P$53,0)),"")</f>
        <v/>
      </c>
      <c r="H41" s="6">
        <f>IFERROR(INDEX('Rank Calc'!$E$5:$E$53,MATCH($A41,'Rank Calc'!$P$5:$P$53,0)),"")</f>
        <v/>
      </c>
      <c r="I41" s="7">
        <f>IFERROR(INDEX('Rank Calc'!$J$5:$J$53,MATCH($A41,'Rank Calc'!$P$5:$P$53,0)),"")</f>
        <v/>
      </c>
      <c r="J41" s="5">
        <f>IFERROR(INDEX('Rank Calc'!$K$5:$K$53,MATCH($A41,'Rank Calc'!$P$5:$P$53,0)),"")</f>
        <v/>
      </c>
      <c r="K41" s="8">
        <f>IFERROR(INDEX('Rank Calc'!$G$5:$G$53,MATCH($A41,'Rank Calc'!$P$5:$P$53,0)),"")</f>
        <v/>
      </c>
      <c r="L41" s="4">
        <f>IFERROR(INDEX('Rank Calc'!$F$5:$F$53,MATCH($A41,'Rank Calc'!$P$5:$P$53,0)),"")</f>
        <v/>
      </c>
      <c r="M41" s="4">
        <f>IFERROR(INDEX('Rank Calc'!$H$5:$H$53,MATCH($A41,'Rank Calc'!$P$5:$P$53,0)),"")</f>
        <v/>
      </c>
    </row>
    <row r="42">
      <c r="A42" s="3" t="n">
        <v>38</v>
      </c>
      <c r="B42" s="4">
        <f>IFERROR(INDEX('Rank Calc'!$A$5:$A$53,MATCH($A42,'Rank Calc'!$P$5:$P$53,0)),"")</f>
        <v/>
      </c>
      <c r="C42" s="4">
        <f>IFERROR(INDEX('Rank Calc'!$B$5:$B$53,MATCH($A42,'Rank Calc'!$P$5:$P$53,0)),"")</f>
        <v/>
      </c>
      <c r="D42" s="5">
        <f>IFERROR(INDEX('Rank Calc'!$O$5:$O$53,MATCH($A42,'Rank Calc'!$P$5:$P$53,0)),"")</f>
        <v/>
      </c>
      <c r="E42" s="6">
        <f>IFERROR(INDEX('Rank Calc'!$C$5:$C$53,MATCH($A42,'Rank Calc'!$P$5:$P$53,0)),"")</f>
        <v/>
      </c>
      <c r="F42" s="6">
        <f>IFERROR(INDEX('Rank Calc'!$D$5:$D$53,MATCH($A42,'Rank Calc'!$P$5:$P$53,0)),"")</f>
        <v/>
      </c>
      <c r="G42" s="7">
        <f>IFERROR(INDEX('Rank Calc'!$I$5:$I$53,MATCH($A42,'Rank Calc'!$P$5:$P$53,0)),"")</f>
        <v/>
      </c>
      <c r="H42" s="6">
        <f>IFERROR(INDEX('Rank Calc'!$E$5:$E$53,MATCH($A42,'Rank Calc'!$P$5:$P$53,0)),"")</f>
        <v/>
      </c>
      <c r="I42" s="7">
        <f>IFERROR(INDEX('Rank Calc'!$J$5:$J$53,MATCH($A42,'Rank Calc'!$P$5:$P$53,0)),"")</f>
        <v/>
      </c>
      <c r="J42" s="5">
        <f>IFERROR(INDEX('Rank Calc'!$K$5:$K$53,MATCH($A42,'Rank Calc'!$P$5:$P$53,0)),"")</f>
        <v/>
      </c>
      <c r="K42" s="8">
        <f>IFERROR(INDEX('Rank Calc'!$G$5:$G$53,MATCH($A42,'Rank Calc'!$P$5:$P$53,0)),"")</f>
        <v/>
      </c>
      <c r="L42" s="4">
        <f>IFERROR(INDEX('Rank Calc'!$F$5:$F$53,MATCH($A42,'Rank Calc'!$P$5:$P$53,0)),"")</f>
        <v/>
      </c>
      <c r="M42" s="4">
        <f>IFERROR(INDEX('Rank Calc'!$H$5:$H$53,MATCH($A42,'Rank Calc'!$P$5:$P$53,0)),"")</f>
        <v/>
      </c>
    </row>
    <row r="43">
      <c r="A43" s="3" t="n">
        <v>39</v>
      </c>
      <c r="B43" s="4">
        <f>IFERROR(INDEX('Rank Calc'!$A$5:$A$53,MATCH($A43,'Rank Calc'!$P$5:$P$53,0)),"")</f>
        <v/>
      </c>
      <c r="C43" s="4">
        <f>IFERROR(INDEX('Rank Calc'!$B$5:$B$53,MATCH($A43,'Rank Calc'!$P$5:$P$53,0)),"")</f>
        <v/>
      </c>
      <c r="D43" s="5">
        <f>IFERROR(INDEX('Rank Calc'!$O$5:$O$53,MATCH($A43,'Rank Calc'!$P$5:$P$53,0)),"")</f>
        <v/>
      </c>
      <c r="E43" s="6">
        <f>IFERROR(INDEX('Rank Calc'!$C$5:$C$53,MATCH($A43,'Rank Calc'!$P$5:$P$53,0)),"")</f>
        <v/>
      </c>
      <c r="F43" s="6">
        <f>IFERROR(INDEX('Rank Calc'!$D$5:$D$53,MATCH($A43,'Rank Calc'!$P$5:$P$53,0)),"")</f>
        <v/>
      </c>
      <c r="G43" s="7">
        <f>IFERROR(INDEX('Rank Calc'!$I$5:$I$53,MATCH($A43,'Rank Calc'!$P$5:$P$53,0)),"")</f>
        <v/>
      </c>
      <c r="H43" s="6">
        <f>IFERROR(INDEX('Rank Calc'!$E$5:$E$53,MATCH($A43,'Rank Calc'!$P$5:$P$53,0)),"")</f>
        <v/>
      </c>
      <c r="I43" s="7">
        <f>IFERROR(INDEX('Rank Calc'!$J$5:$J$53,MATCH($A43,'Rank Calc'!$P$5:$P$53,0)),"")</f>
        <v/>
      </c>
      <c r="J43" s="5">
        <f>IFERROR(INDEX('Rank Calc'!$K$5:$K$53,MATCH($A43,'Rank Calc'!$P$5:$P$53,0)),"")</f>
        <v/>
      </c>
      <c r="K43" s="8">
        <f>IFERROR(INDEX('Rank Calc'!$G$5:$G$53,MATCH($A43,'Rank Calc'!$P$5:$P$53,0)),"")</f>
        <v/>
      </c>
      <c r="L43" s="4">
        <f>IFERROR(INDEX('Rank Calc'!$F$5:$F$53,MATCH($A43,'Rank Calc'!$P$5:$P$53,0)),"")</f>
        <v/>
      </c>
      <c r="M43" s="4">
        <f>IFERROR(INDEX('Rank Calc'!$H$5:$H$53,MATCH($A43,'Rank Calc'!$P$5:$P$53,0)),"")</f>
        <v/>
      </c>
    </row>
    <row r="44">
      <c r="A44" s="3" t="n">
        <v>40</v>
      </c>
      <c r="B44" s="4">
        <f>IFERROR(INDEX('Rank Calc'!$A$5:$A$53,MATCH($A44,'Rank Calc'!$P$5:$P$53,0)),"")</f>
        <v/>
      </c>
      <c r="C44" s="4">
        <f>IFERROR(INDEX('Rank Calc'!$B$5:$B$53,MATCH($A44,'Rank Calc'!$P$5:$P$53,0)),"")</f>
        <v/>
      </c>
      <c r="D44" s="5">
        <f>IFERROR(INDEX('Rank Calc'!$O$5:$O$53,MATCH($A44,'Rank Calc'!$P$5:$P$53,0)),"")</f>
        <v/>
      </c>
      <c r="E44" s="6">
        <f>IFERROR(INDEX('Rank Calc'!$C$5:$C$53,MATCH($A44,'Rank Calc'!$P$5:$P$53,0)),"")</f>
        <v/>
      </c>
      <c r="F44" s="6">
        <f>IFERROR(INDEX('Rank Calc'!$D$5:$D$53,MATCH($A44,'Rank Calc'!$P$5:$P$53,0)),"")</f>
        <v/>
      </c>
      <c r="G44" s="7">
        <f>IFERROR(INDEX('Rank Calc'!$I$5:$I$53,MATCH($A44,'Rank Calc'!$P$5:$P$53,0)),"")</f>
        <v/>
      </c>
      <c r="H44" s="6">
        <f>IFERROR(INDEX('Rank Calc'!$E$5:$E$53,MATCH($A44,'Rank Calc'!$P$5:$P$53,0)),"")</f>
        <v/>
      </c>
      <c r="I44" s="7">
        <f>IFERROR(INDEX('Rank Calc'!$J$5:$J$53,MATCH($A44,'Rank Calc'!$P$5:$P$53,0)),"")</f>
        <v/>
      </c>
      <c r="J44" s="5">
        <f>IFERROR(INDEX('Rank Calc'!$K$5:$K$53,MATCH($A44,'Rank Calc'!$P$5:$P$53,0)),"")</f>
        <v/>
      </c>
      <c r="K44" s="8">
        <f>IFERROR(INDEX('Rank Calc'!$G$5:$G$53,MATCH($A44,'Rank Calc'!$P$5:$P$53,0)),"")</f>
        <v/>
      </c>
      <c r="L44" s="4">
        <f>IFERROR(INDEX('Rank Calc'!$F$5:$F$53,MATCH($A44,'Rank Calc'!$P$5:$P$53,0)),"")</f>
        <v/>
      </c>
      <c r="M44" s="4">
        <f>IFERROR(INDEX('Rank Calc'!$H$5:$H$53,MATCH($A44,'Rank Calc'!$P$5:$P$53,0)),"")</f>
        <v/>
      </c>
    </row>
    <row r="45">
      <c r="A45" s="3" t="n">
        <v>41</v>
      </c>
      <c r="B45" s="4">
        <f>IFERROR(INDEX('Rank Calc'!$A$5:$A$53,MATCH($A45,'Rank Calc'!$P$5:$P$53,0)),"")</f>
        <v/>
      </c>
      <c r="C45" s="4">
        <f>IFERROR(INDEX('Rank Calc'!$B$5:$B$53,MATCH($A45,'Rank Calc'!$P$5:$P$53,0)),"")</f>
        <v/>
      </c>
      <c r="D45" s="5">
        <f>IFERROR(INDEX('Rank Calc'!$O$5:$O$53,MATCH($A45,'Rank Calc'!$P$5:$P$53,0)),"")</f>
        <v/>
      </c>
      <c r="E45" s="6">
        <f>IFERROR(INDEX('Rank Calc'!$C$5:$C$53,MATCH($A45,'Rank Calc'!$P$5:$P$53,0)),"")</f>
        <v/>
      </c>
      <c r="F45" s="6">
        <f>IFERROR(INDEX('Rank Calc'!$D$5:$D$53,MATCH($A45,'Rank Calc'!$P$5:$P$53,0)),"")</f>
        <v/>
      </c>
      <c r="G45" s="7">
        <f>IFERROR(INDEX('Rank Calc'!$I$5:$I$53,MATCH($A45,'Rank Calc'!$P$5:$P$53,0)),"")</f>
        <v/>
      </c>
      <c r="H45" s="6">
        <f>IFERROR(INDEX('Rank Calc'!$E$5:$E$53,MATCH($A45,'Rank Calc'!$P$5:$P$53,0)),"")</f>
        <v/>
      </c>
      <c r="I45" s="7">
        <f>IFERROR(INDEX('Rank Calc'!$J$5:$J$53,MATCH($A45,'Rank Calc'!$P$5:$P$53,0)),"")</f>
        <v/>
      </c>
      <c r="J45" s="5">
        <f>IFERROR(INDEX('Rank Calc'!$K$5:$K$53,MATCH($A45,'Rank Calc'!$P$5:$P$53,0)),"")</f>
        <v/>
      </c>
      <c r="K45" s="8">
        <f>IFERROR(INDEX('Rank Calc'!$G$5:$G$53,MATCH($A45,'Rank Calc'!$P$5:$P$53,0)),"")</f>
        <v/>
      </c>
      <c r="L45" s="4">
        <f>IFERROR(INDEX('Rank Calc'!$F$5:$F$53,MATCH($A45,'Rank Calc'!$P$5:$P$53,0)),"")</f>
        <v/>
      </c>
      <c r="M45" s="4">
        <f>IFERROR(INDEX('Rank Calc'!$H$5:$H$53,MATCH($A45,'Rank Calc'!$P$5:$P$53,0)),"")</f>
        <v/>
      </c>
    </row>
    <row r="46">
      <c r="A46" s="3" t="n">
        <v>42</v>
      </c>
      <c r="B46" s="4">
        <f>IFERROR(INDEX('Rank Calc'!$A$5:$A$53,MATCH($A46,'Rank Calc'!$P$5:$P$53,0)),"")</f>
        <v/>
      </c>
      <c r="C46" s="4">
        <f>IFERROR(INDEX('Rank Calc'!$B$5:$B$53,MATCH($A46,'Rank Calc'!$P$5:$P$53,0)),"")</f>
        <v/>
      </c>
      <c r="D46" s="5">
        <f>IFERROR(INDEX('Rank Calc'!$O$5:$O$53,MATCH($A46,'Rank Calc'!$P$5:$P$53,0)),"")</f>
        <v/>
      </c>
      <c r="E46" s="6">
        <f>IFERROR(INDEX('Rank Calc'!$C$5:$C$53,MATCH($A46,'Rank Calc'!$P$5:$P$53,0)),"")</f>
        <v/>
      </c>
      <c r="F46" s="6">
        <f>IFERROR(INDEX('Rank Calc'!$D$5:$D$53,MATCH($A46,'Rank Calc'!$P$5:$P$53,0)),"")</f>
        <v/>
      </c>
      <c r="G46" s="7">
        <f>IFERROR(INDEX('Rank Calc'!$I$5:$I$53,MATCH($A46,'Rank Calc'!$P$5:$P$53,0)),"")</f>
        <v/>
      </c>
      <c r="H46" s="6">
        <f>IFERROR(INDEX('Rank Calc'!$E$5:$E$53,MATCH($A46,'Rank Calc'!$P$5:$P$53,0)),"")</f>
        <v/>
      </c>
      <c r="I46" s="7">
        <f>IFERROR(INDEX('Rank Calc'!$J$5:$J$53,MATCH($A46,'Rank Calc'!$P$5:$P$53,0)),"")</f>
        <v/>
      </c>
      <c r="J46" s="5">
        <f>IFERROR(INDEX('Rank Calc'!$K$5:$K$53,MATCH($A46,'Rank Calc'!$P$5:$P$53,0)),"")</f>
        <v/>
      </c>
      <c r="K46" s="8">
        <f>IFERROR(INDEX('Rank Calc'!$G$5:$G$53,MATCH($A46,'Rank Calc'!$P$5:$P$53,0)),"")</f>
        <v/>
      </c>
      <c r="L46" s="4">
        <f>IFERROR(INDEX('Rank Calc'!$F$5:$F$53,MATCH($A46,'Rank Calc'!$P$5:$P$53,0)),"")</f>
        <v/>
      </c>
      <c r="M46" s="4">
        <f>IFERROR(INDEX('Rank Calc'!$H$5:$H$53,MATCH($A46,'Rank Calc'!$P$5:$P$53,0)),"")</f>
        <v/>
      </c>
    </row>
    <row r="47">
      <c r="A47" s="3" t="n">
        <v>43</v>
      </c>
      <c r="B47" s="4">
        <f>IFERROR(INDEX('Rank Calc'!$A$5:$A$53,MATCH($A47,'Rank Calc'!$P$5:$P$53,0)),"")</f>
        <v/>
      </c>
      <c r="C47" s="4">
        <f>IFERROR(INDEX('Rank Calc'!$B$5:$B$53,MATCH($A47,'Rank Calc'!$P$5:$P$53,0)),"")</f>
        <v/>
      </c>
      <c r="D47" s="5">
        <f>IFERROR(INDEX('Rank Calc'!$O$5:$O$53,MATCH($A47,'Rank Calc'!$P$5:$P$53,0)),"")</f>
        <v/>
      </c>
      <c r="E47" s="6">
        <f>IFERROR(INDEX('Rank Calc'!$C$5:$C$53,MATCH($A47,'Rank Calc'!$P$5:$P$53,0)),"")</f>
        <v/>
      </c>
      <c r="F47" s="6">
        <f>IFERROR(INDEX('Rank Calc'!$D$5:$D$53,MATCH($A47,'Rank Calc'!$P$5:$P$53,0)),"")</f>
        <v/>
      </c>
      <c r="G47" s="7">
        <f>IFERROR(INDEX('Rank Calc'!$I$5:$I$53,MATCH($A47,'Rank Calc'!$P$5:$P$53,0)),"")</f>
        <v/>
      </c>
      <c r="H47" s="6">
        <f>IFERROR(INDEX('Rank Calc'!$E$5:$E$53,MATCH($A47,'Rank Calc'!$P$5:$P$53,0)),"")</f>
        <v/>
      </c>
      <c r="I47" s="7">
        <f>IFERROR(INDEX('Rank Calc'!$J$5:$J$53,MATCH($A47,'Rank Calc'!$P$5:$P$53,0)),"")</f>
        <v/>
      </c>
      <c r="J47" s="5">
        <f>IFERROR(INDEX('Rank Calc'!$K$5:$K$53,MATCH($A47,'Rank Calc'!$P$5:$P$53,0)),"")</f>
        <v/>
      </c>
      <c r="K47" s="8">
        <f>IFERROR(INDEX('Rank Calc'!$G$5:$G$53,MATCH($A47,'Rank Calc'!$P$5:$P$53,0)),"")</f>
        <v/>
      </c>
      <c r="L47" s="4">
        <f>IFERROR(INDEX('Rank Calc'!$F$5:$F$53,MATCH($A47,'Rank Calc'!$P$5:$P$53,0)),"")</f>
        <v/>
      </c>
      <c r="M47" s="4">
        <f>IFERROR(INDEX('Rank Calc'!$H$5:$H$53,MATCH($A47,'Rank Calc'!$P$5:$P$53,0)),"")</f>
        <v/>
      </c>
    </row>
    <row r="48">
      <c r="A48" s="3" t="n">
        <v>44</v>
      </c>
      <c r="B48" s="4">
        <f>IFERROR(INDEX('Rank Calc'!$A$5:$A$53,MATCH($A48,'Rank Calc'!$P$5:$P$53,0)),"")</f>
        <v/>
      </c>
      <c r="C48" s="4">
        <f>IFERROR(INDEX('Rank Calc'!$B$5:$B$53,MATCH($A48,'Rank Calc'!$P$5:$P$53,0)),"")</f>
        <v/>
      </c>
      <c r="D48" s="5">
        <f>IFERROR(INDEX('Rank Calc'!$O$5:$O$53,MATCH($A48,'Rank Calc'!$P$5:$P$53,0)),"")</f>
        <v/>
      </c>
      <c r="E48" s="6">
        <f>IFERROR(INDEX('Rank Calc'!$C$5:$C$53,MATCH($A48,'Rank Calc'!$P$5:$P$53,0)),"")</f>
        <v/>
      </c>
      <c r="F48" s="6">
        <f>IFERROR(INDEX('Rank Calc'!$D$5:$D$53,MATCH($A48,'Rank Calc'!$P$5:$P$53,0)),"")</f>
        <v/>
      </c>
      <c r="G48" s="7">
        <f>IFERROR(INDEX('Rank Calc'!$I$5:$I$53,MATCH($A48,'Rank Calc'!$P$5:$P$53,0)),"")</f>
        <v/>
      </c>
      <c r="H48" s="6">
        <f>IFERROR(INDEX('Rank Calc'!$E$5:$E$53,MATCH($A48,'Rank Calc'!$P$5:$P$53,0)),"")</f>
        <v/>
      </c>
      <c r="I48" s="7">
        <f>IFERROR(INDEX('Rank Calc'!$J$5:$J$53,MATCH($A48,'Rank Calc'!$P$5:$P$53,0)),"")</f>
        <v/>
      </c>
      <c r="J48" s="5">
        <f>IFERROR(INDEX('Rank Calc'!$K$5:$K$53,MATCH($A48,'Rank Calc'!$P$5:$P$53,0)),"")</f>
        <v/>
      </c>
      <c r="K48" s="8">
        <f>IFERROR(INDEX('Rank Calc'!$G$5:$G$53,MATCH($A48,'Rank Calc'!$P$5:$P$53,0)),"")</f>
        <v/>
      </c>
      <c r="L48" s="4">
        <f>IFERROR(INDEX('Rank Calc'!$F$5:$F$53,MATCH($A48,'Rank Calc'!$P$5:$P$53,0)),"")</f>
        <v/>
      </c>
      <c r="M48" s="4">
        <f>IFERROR(INDEX('Rank Calc'!$H$5:$H$53,MATCH($A48,'Rank Calc'!$P$5:$P$53,0)),"")</f>
        <v/>
      </c>
    </row>
    <row r="49">
      <c r="A49" s="3" t="n">
        <v>45</v>
      </c>
      <c r="B49" s="4">
        <f>IFERROR(INDEX('Rank Calc'!$A$5:$A$53,MATCH($A49,'Rank Calc'!$P$5:$P$53,0)),"")</f>
        <v/>
      </c>
      <c r="C49" s="4">
        <f>IFERROR(INDEX('Rank Calc'!$B$5:$B$53,MATCH($A49,'Rank Calc'!$P$5:$P$53,0)),"")</f>
        <v/>
      </c>
      <c r="D49" s="5">
        <f>IFERROR(INDEX('Rank Calc'!$O$5:$O$53,MATCH($A49,'Rank Calc'!$P$5:$P$53,0)),"")</f>
        <v/>
      </c>
      <c r="E49" s="6">
        <f>IFERROR(INDEX('Rank Calc'!$C$5:$C$53,MATCH($A49,'Rank Calc'!$P$5:$P$53,0)),"")</f>
        <v/>
      </c>
      <c r="F49" s="6">
        <f>IFERROR(INDEX('Rank Calc'!$D$5:$D$53,MATCH($A49,'Rank Calc'!$P$5:$P$53,0)),"")</f>
        <v/>
      </c>
      <c r="G49" s="7">
        <f>IFERROR(INDEX('Rank Calc'!$I$5:$I$53,MATCH($A49,'Rank Calc'!$P$5:$P$53,0)),"")</f>
        <v/>
      </c>
      <c r="H49" s="6">
        <f>IFERROR(INDEX('Rank Calc'!$E$5:$E$53,MATCH($A49,'Rank Calc'!$P$5:$P$53,0)),"")</f>
        <v/>
      </c>
      <c r="I49" s="7">
        <f>IFERROR(INDEX('Rank Calc'!$J$5:$J$53,MATCH($A49,'Rank Calc'!$P$5:$P$53,0)),"")</f>
        <v/>
      </c>
      <c r="J49" s="5">
        <f>IFERROR(INDEX('Rank Calc'!$K$5:$K$53,MATCH($A49,'Rank Calc'!$P$5:$P$53,0)),"")</f>
        <v/>
      </c>
      <c r="K49" s="8">
        <f>IFERROR(INDEX('Rank Calc'!$G$5:$G$53,MATCH($A49,'Rank Calc'!$P$5:$P$53,0)),"")</f>
        <v/>
      </c>
      <c r="L49" s="4">
        <f>IFERROR(INDEX('Rank Calc'!$F$5:$F$53,MATCH($A49,'Rank Calc'!$P$5:$P$53,0)),"")</f>
        <v/>
      </c>
      <c r="M49" s="4">
        <f>IFERROR(INDEX('Rank Calc'!$H$5:$H$53,MATCH($A49,'Rank Calc'!$P$5:$P$53,0)),"")</f>
        <v/>
      </c>
    </row>
    <row r="50">
      <c r="A50" s="3" t="n">
        <v>46</v>
      </c>
      <c r="B50" s="4">
        <f>IFERROR(INDEX('Rank Calc'!$A$5:$A$53,MATCH($A50,'Rank Calc'!$P$5:$P$53,0)),"")</f>
        <v/>
      </c>
      <c r="C50" s="4">
        <f>IFERROR(INDEX('Rank Calc'!$B$5:$B$53,MATCH($A50,'Rank Calc'!$P$5:$P$53,0)),"")</f>
        <v/>
      </c>
      <c r="D50" s="5">
        <f>IFERROR(INDEX('Rank Calc'!$O$5:$O$53,MATCH($A50,'Rank Calc'!$P$5:$P$53,0)),"")</f>
        <v/>
      </c>
      <c r="E50" s="6">
        <f>IFERROR(INDEX('Rank Calc'!$C$5:$C$53,MATCH($A50,'Rank Calc'!$P$5:$P$53,0)),"")</f>
        <v/>
      </c>
      <c r="F50" s="6">
        <f>IFERROR(INDEX('Rank Calc'!$D$5:$D$53,MATCH($A50,'Rank Calc'!$P$5:$P$53,0)),"")</f>
        <v/>
      </c>
      <c r="G50" s="7">
        <f>IFERROR(INDEX('Rank Calc'!$I$5:$I$53,MATCH($A50,'Rank Calc'!$P$5:$P$53,0)),"")</f>
        <v/>
      </c>
      <c r="H50" s="6">
        <f>IFERROR(INDEX('Rank Calc'!$E$5:$E$53,MATCH($A50,'Rank Calc'!$P$5:$P$53,0)),"")</f>
        <v/>
      </c>
      <c r="I50" s="7">
        <f>IFERROR(INDEX('Rank Calc'!$J$5:$J$53,MATCH($A50,'Rank Calc'!$P$5:$P$53,0)),"")</f>
        <v/>
      </c>
      <c r="J50" s="5">
        <f>IFERROR(INDEX('Rank Calc'!$K$5:$K$53,MATCH($A50,'Rank Calc'!$P$5:$P$53,0)),"")</f>
        <v/>
      </c>
      <c r="K50" s="8">
        <f>IFERROR(INDEX('Rank Calc'!$G$5:$G$53,MATCH($A50,'Rank Calc'!$P$5:$P$53,0)),"")</f>
        <v/>
      </c>
      <c r="L50" s="4">
        <f>IFERROR(INDEX('Rank Calc'!$F$5:$F$53,MATCH($A50,'Rank Calc'!$P$5:$P$53,0)),"")</f>
        <v/>
      </c>
      <c r="M50" s="4">
        <f>IFERROR(INDEX('Rank Calc'!$H$5:$H$53,MATCH($A50,'Rank Calc'!$P$5:$P$53,0)),"")</f>
        <v/>
      </c>
    </row>
    <row r="51">
      <c r="A51" s="3" t="n">
        <v>47</v>
      </c>
      <c r="B51" s="4">
        <f>IFERROR(INDEX('Rank Calc'!$A$5:$A$53,MATCH($A51,'Rank Calc'!$P$5:$P$53,0)),"")</f>
        <v/>
      </c>
      <c r="C51" s="4">
        <f>IFERROR(INDEX('Rank Calc'!$B$5:$B$53,MATCH($A51,'Rank Calc'!$P$5:$P$53,0)),"")</f>
        <v/>
      </c>
      <c r="D51" s="5">
        <f>IFERROR(INDEX('Rank Calc'!$O$5:$O$53,MATCH($A51,'Rank Calc'!$P$5:$P$53,0)),"")</f>
        <v/>
      </c>
      <c r="E51" s="6">
        <f>IFERROR(INDEX('Rank Calc'!$C$5:$C$53,MATCH($A51,'Rank Calc'!$P$5:$P$53,0)),"")</f>
        <v/>
      </c>
      <c r="F51" s="6">
        <f>IFERROR(INDEX('Rank Calc'!$D$5:$D$53,MATCH($A51,'Rank Calc'!$P$5:$P$53,0)),"")</f>
        <v/>
      </c>
      <c r="G51" s="7">
        <f>IFERROR(INDEX('Rank Calc'!$I$5:$I$53,MATCH($A51,'Rank Calc'!$P$5:$P$53,0)),"")</f>
        <v/>
      </c>
      <c r="H51" s="6">
        <f>IFERROR(INDEX('Rank Calc'!$E$5:$E$53,MATCH($A51,'Rank Calc'!$P$5:$P$53,0)),"")</f>
        <v/>
      </c>
      <c r="I51" s="7">
        <f>IFERROR(INDEX('Rank Calc'!$J$5:$J$53,MATCH($A51,'Rank Calc'!$P$5:$P$53,0)),"")</f>
        <v/>
      </c>
      <c r="J51" s="5">
        <f>IFERROR(INDEX('Rank Calc'!$K$5:$K$53,MATCH($A51,'Rank Calc'!$P$5:$P$53,0)),"")</f>
        <v/>
      </c>
      <c r="K51" s="8">
        <f>IFERROR(INDEX('Rank Calc'!$G$5:$G$53,MATCH($A51,'Rank Calc'!$P$5:$P$53,0)),"")</f>
        <v/>
      </c>
      <c r="L51" s="4">
        <f>IFERROR(INDEX('Rank Calc'!$F$5:$F$53,MATCH($A51,'Rank Calc'!$P$5:$P$53,0)),"")</f>
        <v/>
      </c>
      <c r="M51" s="4">
        <f>IFERROR(INDEX('Rank Calc'!$H$5:$H$53,MATCH($A51,'Rank Calc'!$P$5:$P$53,0)),"")</f>
        <v/>
      </c>
    </row>
    <row r="52">
      <c r="A52" s="3" t="n">
        <v>48</v>
      </c>
      <c r="B52" s="4">
        <f>IFERROR(INDEX('Rank Calc'!$A$5:$A$53,MATCH($A52,'Rank Calc'!$P$5:$P$53,0)),"")</f>
        <v/>
      </c>
      <c r="C52" s="4">
        <f>IFERROR(INDEX('Rank Calc'!$B$5:$B$53,MATCH($A52,'Rank Calc'!$P$5:$P$53,0)),"")</f>
        <v/>
      </c>
      <c r="D52" s="5">
        <f>IFERROR(INDEX('Rank Calc'!$O$5:$O$53,MATCH($A52,'Rank Calc'!$P$5:$P$53,0)),"")</f>
        <v/>
      </c>
      <c r="E52" s="6">
        <f>IFERROR(INDEX('Rank Calc'!$C$5:$C$53,MATCH($A52,'Rank Calc'!$P$5:$P$53,0)),"")</f>
        <v/>
      </c>
      <c r="F52" s="6">
        <f>IFERROR(INDEX('Rank Calc'!$D$5:$D$53,MATCH($A52,'Rank Calc'!$P$5:$P$53,0)),"")</f>
        <v/>
      </c>
      <c r="G52" s="7">
        <f>IFERROR(INDEX('Rank Calc'!$I$5:$I$53,MATCH($A52,'Rank Calc'!$P$5:$P$53,0)),"")</f>
        <v/>
      </c>
      <c r="H52" s="6">
        <f>IFERROR(INDEX('Rank Calc'!$E$5:$E$53,MATCH($A52,'Rank Calc'!$P$5:$P$53,0)),"")</f>
        <v/>
      </c>
      <c r="I52" s="7">
        <f>IFERROR(INDEX('Rank Calc'!$J$5:$J$53,MATCH($A52,'Rank Calc'!$P$5:$P$53,0)),"")</f>
        <v/>
      </c>
      <c r="J52" s="5">
        <f>IFERROR(INDEX('Rank Calc'!$K$5:$K$53,MATCH($A52,'Rank Calc'!$P$5:$P$53,0)),"")</f>
        <v/>
      </c>
      <c r="K52" s="8">
        <f>IFERROR(INDEX('Rank Calc'!$G$5:$G$53,MATCH($A52,'Rank Calc'!$P$5:$P$53,0)),"")</f>
        <v/>
      </c>
      <c r="L52" s="4">
        <f>IFERROR(INDEX('Rank Calc'!$F$5:$F$53,MATCH($A52,'Rank Calc'!$P$5:$P$53,0)),"")</f>
        <v/>
      </c>
      <c r="M52" s="4">
        <f>IFERROR(INDEX('Rank Calc'!$H$5:$H$53,MATCH($A52,'Rank Calc'!$P$5:$P$53,0)),"")</f>
        <v/>
      </c>
    </row>
    <row r="53">
      <c r="A53" s="3" t="n">
        <v>49</v>
      </c>
      <c r="B53" s="4">
        <f>IFERROR(INDEX('Rank Calc'!$A$5:$A$53,MATCH($A53,'Rank Calc'!$P$5:$P$53,0)),"")</f>
        <v/>
      </c>
      <c r="C53" s="4">
        <f>IFERROR(INDEX('Rank Calc'!$B$5:$B$53,MATCH($A53,'Rank Calc'!$P$5:$P$53,0)),"")</f>
        <v/>
      </c>
      <c r="D53" s="5">
        <f>IFERROR(INDEX('Rank Calc'!$O$5:$O$53,MATCH($A53,'Rank Calc'!$P$5:$P$53,0)),"")</f>
        <v/>
      </c>
      <c r="E53" s="6">
        <f>IFERROR(INDEX('Rank Calc'!$C$5:$C$53,MATCH($A53,'Rank Calc'!$P$5:$P$53,0)),"")</f>
        <v/>
      </c>
      <c r="F53" s="6">
        <f>IFERROR(INDEX('Rank Calc'!$D$5:$D$53,MATCH($A53,'Rank Calc'!$P$5:$P$53,0)),"")</f>
        <v/>
      </c>
      <c r="G53" s="7">
        <f>IFERROR(INDEX('Rank Calc'!$I$5:$I$53,MATCH($A53,'Rank Calc'!$P$5:$P$53,0)),"")</f>
        <v/>
      </c>
      <c r="H53" s="6">
        <f>IFERROR(INDEX('Rank Calc'!$E$5:$E$53,MATCH($A53,'Rank Calc'!$P$5:$P$53,0)),"")</f>
        <v/>
      </c>
      <c r="I53" s="7">
        <f>IFERROR(INDEX('Rank Calc'!$J$5:$J$53,MATCH($A53,'Rank Calc'!$P$5:$P$53,0)),"")</f>
        <v/>
      </c>
      <c r="J53" s="5">
        <f>IFERROR(INDEX('Rank Calc'!$K$5:$K$53,MATCH($A53,'Rank Calc'!$P$5:$P$53,0)),"")</f>
        <v/>
      </c>
      <c r="K53" s="8">
        <f>IFERROR(INDEX('Rank Calc'!$G$5:$G$53,MATCH($A53,'Rank Calc'!$P$5:$P$53,0)),"")</f>
        <v/>
      </c>
      <c r="L53" s="4">
        <f>IFERROR(INDEX('Rank Calc'!$F$5:$F$53,MATCH($A53,'Rank Calc'!$P$5:$P$53,0)),"")</f>
        <v/>
      </c>
      <c r="M53" s="4">
        <f>IFERROR(INDEX('Rank Calc'!$H$5:$H$53,MATCH($A53,'Rank Calc'!$P$5:$P$53,0)),"")</f>
        <v/>
      </c>
    </row>
  </sheetData>
  <conditionalFormatting sqref="D5:D53">
    <cfRule type="colorScale" priority="1">
      <colorScale>
        <cfvo type="min"/>
        <cfvo type="percentile" val="50"/>
        <cfvo type="max"/>
        <color rgb="00F8CBAD"/>
        <color rgb="00FFEB9C"/>
        <color rgb="00C6EFCE"/>
      </colorScale>
    </cfRule>
  </conditionalFormatting>
  <conditionalFormatting sqref="M5:M53">
    <cfRule type="expression" priority="2" dxfId="0">
      <formula>OR(LEFT(M5,4)="WASH",LEFT(M5,6)="REVIEW",LEFT(M5,5)="BELOW",ISNUMBER(SEARCH("earnings",M5)))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2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  <col width="11" customWidth="1" min="15" max="15"/>
    <col width="11" customWidth="1" min="16" max="16"/>
    <col width="12" customWidth="1" min="17" max="17"/>
    <col width="12" customWidth="1" min="18" max="18"/>
    <col width="18" customWidth="1" min="19" max="19"/>
    <col width="12" customWidth="1" min="20" max="20"/>
    <col width="13" customWidth="1" min="21" max="21"/>
    <col width="10" customWidth="1" min="22" max="22"/>
    <col width="12" customWidth="1" min="23" max="23"/>
    <col width="12" customWidth="1" min="24" max="24"/>
    <col width="12" customWidth="1" min="25" max="25"/>
    <col width="8" customWidth="1" min="26" max="26"/>
    <col width="8" customWidth="1" min="27" max="27"/>
    <col width="9" customWidth="1" min="28" max="28"/>
    <col width="8" customWidth="1" min="29" max="29"/>
    <col width="8" customWidth="1" min="30" max="30"/>
    <col width="9" customWidth="1" min="31" max="31"/>
    <col width="9" customWidth="1" min="32" max="32"/>
    <col width="12" customWidth="1" min="33" max="33"/>
    <col width="12" customWidth="1" min="34" max="34"/>
    <col width="10" customWidth="1" min="35" max="35"/>
    <col width="11" customWidth="1" min="36" max="36"/>
    <col width="12" customWidth="1" min="37" max="37"/>
    <col width="9" customWidth="1" min="38" max="38"/>
    <col width="12" customWidth="1" min="39" max="39"/>
    <col width="9" customWidth="1" min="40" max="40"/>
    <col width="30" customWidth="1" min="41" max="41"/>
    <col width="6" customWidth="1" min="42" max="42"/>
    <col width="60" customWidth="1" min="43" max="43"/>
  </cols>
  <sheetData>
    <row r="1">
      <c r="A1" s="1" t="inlineStr">
        <is>
          <t>Joint Account (••••5343) - Holdings, Price Targets and Sell Targets</t>
        </is>
      </c>
    </row>
    <row r="2">
      <c r="A2" t="inlineStr">
        <is>
          <t>Blue columns are inputs (broker snapshot + routine targets). Green-header columns are formulas. Sell targets are guides for Ryan; the agent never trades the joint account.</t>
        </is>
      </c>
    </row>
    <row r="3">
      <c r="A3" t="inlineStr">
        <is>
          <t>Price used:</t>
        </is>
      </c>
      <c r="B3">
        <f>Inputs!$B$6</f>
        <v/>
      </c>
      <c r="C3" t="inlineStr">
        <is>
          <t>Close 2026-10-29</t>
        </is>
      </c>
      <c r="D3" s="9">
        <f>Inputs!$B$5</f>
        <v/>
      </c>
      <c r="F3" t="inlineStr">
        <is>
          <t>Not priced (check in the app): EPIX^</t>
        </is>
      </c>
    </row>
    <row r="5" ht="42" customHeight="1">
      <c r="A5" s="10" t="inlineStr">
        <is>
          <t>Symbol</t>
        </is>
      </c>
      <c r="B5" s="10" t="inlineStr">
        <is>
          <t>Company</t>
        </is>
      </c>
      <c r="C5" s="10" t="inlineStr">
        <is>
          <t>Type</t>
        </is>
      </c>
      <c r="D5" s="10" t="inlineStr">
        <is>
          <t>Sector</t>
        </is>
      </c>
      <c r="E5" s="10" t="inlineStr">
        <is>
          <t>Shares</t>
        </is>
      </c>
      <c r="F5" s="10" t="inlineStr">
        <is>
          <t>Avg Cost</t>
        </is>
      </c>
      <c r="G5" s="10" t="inlineStr">
        <is>
          <t>Price</t>
        </is>
      </c>
      <c r="H5" s="10" t="inlineStr">
        <is>
          <t>After-hrs</t>
        </is>
      </c>
      <c r="I5" s="10" t="inlineStr">
        <is>
          <t>50-day SMA</t>
        </is>
      </c>
      <c r="J5" s="10" t="inlineStr">
        <is>
          <t>200-day SMA</t>
        </is>
      </c>
      <c r="K5" s="10" t="inlineStr">
        <is>
          <t>60-day Low</t>
        </is>
      </c>
      <c r="L5" s="10" t="inlineStr">
        <is>
          <t>60-day High</t>
        </is>
      </c>
      <c r="M5" s="10" t="inlineStr">
        <is>
          <t>52-wk High</t>
        </is>
      </c>
      <c r="N5" s="10" t="inlineStr">
        <is>
          <t>Tgt: Fundamental</t>
        </is>
      </c>
      <c r="O5" s="10" t="inlineStr">
        <is>
          <t>Tgt: Robinhood</t>
        </is>
      </c>
      <c r="P5" s="10" t="inlineStr">
        <is>
          <t>Tgt: Analysts</t>
        </is>
      </c>
      <c r="Q5" s="10" t="inlineStr">
        <is>
          <t>FINAL Price Target</t>
        </is>
      </c>
      <c r="R5" s="10" t="inlineStr">
        <is>
          <t>Target Agreement</t>
        </is>
      </c>
      <c r="S5" s="10" t="inlineStr">
        <is>
          <t>Valuation</t>
        </is>
      </c>
      <c r="T5" s="10" t="inlineStr">
        <is>
          <t>Disruption</t>
        </is>
      </c>
      <c r="U5" s="10" t="inlineStr">
        <is>
          <t>Next Earnings</t>
        </is>
      </c>
      <c r="V5" s="11" t="inlineStr">
        <is>
          <t>Price Used</t>
        </is>
      </c>
      <c r="W5" s="11" t="inlineStr">
        <is>
          <t>Market Value</t>
        </is>
      </c>
      <c r="X5" s="11" t="inlineStr">
        <is>
          <t>Cost Basis</t>
        </is>
      </c>
      <c r="Y5" s="11" t="inlineStr">
        <is>
          <t>Unrealized P/L $</t>
        </is>
      </c>
      <c r="Z5" s="11" t="inlineStr">
        <is>
          <t>P/L %</t>
        </is>
      </c>
      <c r="AA5" s="11" t="inlineStr">
        <is>
          <t>Weight</t>
        </is>
      </c>
      <c r="AB5" s="11" t="inlineStr">
        <is>
          <t>After-hrs Move</t>
        </is>
      </c>
      <c r="AC5" s="11" t="inlineStr">
        <is>
          <t>vs 50-day</t>
        </is>
      </c>
      <c r="AD5" s="11" t="inlineStr">
        <is>
          <t>vs 200-day</t>
        </is>
      </c>
      <c r="AE5" s="11" t="inlineStr">
        <is>
          <t>Off 52-wk High</t>
        </is>
      </c>
      <c r="AF5" s="11" t="inlineStr">
        <is>
          <t>Upside to Target</t>
        </is>
      </c>
      <c r="AG5" s="11" t="inlineStr">
        <is>
          <t>SELL TARGET 1 (trim)</t>
        </is>
      </c>
      <c r="AH5" s="11" t="inlineStr">
        <is>
          <t>SELL TARGET 2 (trim)</t>
        </is>
      </c>
      <c r="AI5" s="11" t="inlineStr">
        <is>
          <t>Shares per Trim</t>
        </is>
      </c>
      <c r="AJ5" s="11" t="inlineStr">
        <is>
          <t>Proceeds at T1</t>
        </is>
      </c>
      <c r="AK5" s="11" t="inlineStr">
        <is>
          <t>DOWNSIDE REVIEW LEVEL</t>
        </is>
      </c>
      <c r="AL5" s="11" t="inlineStr">
        <is>
          <t>Cushion to Review</t>
        </is>
      </c>
      <c r="AM5" s="11" t="inlineStr">
        <is>
          <t>Trailing Stop (if green)</t>
        </is>
      </c>
      <c r="AN5" s="11" t="inlineStr">
        <is>
          <t>Reward : Risk</t>
        </is>
      </c>
      <c r="AO5" s="11" t="inlineStr">
        <is>
          <t>ACTION</t>
        </is>
      </c>
      <c r="AP5" s="11" t="inlineStr">
        <is>
          <t>RANK</t>
        </is>
      </c>
      <c r="AQ5" s="10" t="inlineStr">
        <is>
          <t>Notes</t>
        </is>
      </c>
    </row>
    <row r="6">
      <c r="A6" s="12" t="inlineStr">
        <is>
          <t>META</t>
        </is>
      </c>
      <c r="B6" s="12" t="inlineStr">
        <is>
          <t>Meta Platforms</t>
        </is>
      </c>
      <c r="C6" s="12" t="inlineStr">
        <is>
          <t>Stock</t>
        </is>
      </c>
      <c r="D6" s="12" t="inlineStr">
        <is>
          <t>Internet</t>
        </is>
      </c>
      <c r="E6" s="13" t="n">
        <v>25.982426</v>
      </c>
      <c r="F6" s="14" t="n">
        <v>631.15</v>
      </c>
      <c r="G6" s="14" t="n">
        <v>624.52</v>
      </c>
      <c r="H6" s="14" t="n">
        <v>618.49</v>
      </c>
      <c r="I6" s="14" t="n">
        <v>668.6</v>
      </c>
      <c r="J6" s="14" t="n">
        <v>632.11</v>
      </c>
      <c r="K6" s="14" t="n">
        <v>537.27</v>
      </c>
      <c r="L6" s="14" t="n">
        <v>779.8200000000001</v>
      </c>
      <c r="M6" s="14" t="n">
        <v>779.8200000000001</v>
      </c>
      <c r="N6" s="14" t="n">
        <v>890.02</v>
      </c>
      <c r="O6" s="14" t="n">
        <v>850.51</v>
      </c>
      <c r="P6" s="14" t="n">
        <v>840</v>
      </c>
      <c r="Q6" s="14" t="n">
        <v>850.51</v>
      </c>
      <c r="R6" s="12" t="inlineStr">
        <is>
          <t>HIGH</t>
        </is>
      </c>
      <c r="S6" s="12" t="inlineStr">
        <is>
          <t>FAIR -2% (med)</t>
        </is>
      </c>
      <c r="T6" s="12" t="inlineStr">
        <is>
          <t>INNOVATING</t>
        </is>
      </c>
      <c r="U6" s="15" t="inlineStr">
        <is>
          <t>n/a</t>
        </is>
      </c>
      <c r="V6" s="6">
        <f>IF(AND(Inputs!$B$6="After-hours",N(H6)&gt;0),H6,G6)</f>
        <v/>
      </c>
      <c r="W6" s="16">
        <f>E6*V6</f>
        <v/>
      </c>
      <c r="X6" s="16">
        <f>E6*F6</f>
        <v/>
      </c>
      <c r="Y6" s="17">
        <f>W6-X6</f>
        <v/>
      </c>
      <c r="Z6" s="7">
        <f>IFERROR(Y6/X6,"")</f>
        <v/>
      </c>
      <c r="AA6" s="18">
        <f>W6/$W$27</f>
        <v/>
      </c>
      <c r="AB6" s="7">
        <f>IFERROR(IF(N(H6)&gt;0,H6/G6-1,""),"")</f>
        <v/>
      </c>
      <c r="AC6" s="7">
        <f>IFERROR(V6/I6-1,"")</f>
        <v/>
      </c>
      <c r="AD6" s="7">
        <f>IFERROR(V6/J6-1,"")</f>
        <v/>
      </c>
      <c r="AE6" s="7">
        <f>IFERROR(V6/M6-1,"")</f>
        <v/>
      </c>
      <c r="AF6" s="7">
        <f>IF(N(Q6)&gt;0,Q6/V6-1,"")</f>
        <v/>
      </c>
      <c r="AG6" s="6">
        <f>IF(N(Q6)&gt;0,Q6*Inputs!$B$7,"")</f>
        <v/>
      </c>
      <c r="AH6" s="6">
        <f>IF(N(Q6)&gt;0,Q6*(1+Inputs!$B$8),"")</f>
        <v/>
      </c>
      <c r="AI6" s="19">
        <f>E6*Inputs!$B$9</f>
        <v/>
      </c>
      <c r="AJ6" s="16">
        <f>IF(N(AG6)&gt;0,AI6*AG6,"")</f>
        <v/>
      </c>
      <c r="AK6" s="6">
        <f>MAX(K6*(1-Inputs!$B$10),F6*(1-IF(ISNUMBER(SEARCH("Lev",C6)),Inputs!$B$12,Inputs!$B$11)))</f>
        <v/>
      </c>
      <c r="AL6" s="7">
        <f>IFERROR(V6/AK6-1,"")</f>
        <v/>
      </c>
      <c r="AM6" s="6">
        <f>IF(V6&gt;=F6/(1-Inputs!$B$13),MAX(F6,L6*(1-Inputs!$B$13)),"not green yet")</f>
        <v/>
      </c>
      <c r="AN6" s="5">
        <f>IF(AND(N(Q6)&gt;0,V6&gt;AK6,AG6&gt;V6),(AG6-V6)/(V6-AK6),"")</f>
        <v/>
      </c>
      <c r="AO6" s="4">
        <f>IF(W6&lt;100,"DUST: clean up",IF(V6&lt;AK6,"REVIEW: below support / max loss",IF(AND(N(Q6)&gt;0,V6&gt;=AH6),"SELL 2nd TRIM, trail the rest",IF(AND(N(Q6)&gt;0,V6&gt;=AG6),"TRIM 1/3 + thesis re-check",IF(AA6&gt;IF(ISNUMBER(SEARCH("Lev",C6)),Inputs!$B$15,Inputs!$B$14),"OVERWEIGHT: trim to cap",IF(IF(ISNUMBER(U6),AND(U6&gt;Inputs!$B$5,U6-Inputs!$B$5&lt;=Inputs!$B$16),FALSE),"HOLD: earnings soon",IF(N(Q6)=0,"HOLD: no target","HOLD")))))))</f>
        <v/>
      </c>
      <c r="AP6" s="8">
        <f>IFERROR(INDEX('Rank Calc'!$P$5:$P$53,MATCH($A6,'Rank Calc'!$A$5:$A$53,0)),"")</f>
        <v/>
      </c>
      <c r="AQ6" s="20" t="inlineStr">
        <is>
          <t>Already held (~15% of the joint account).</t>
        </is>
      </c>
    </row>
    <row r="7">
      <c r="A7" s="12" t="inlineStr">
        <is>
          <t>AMZN</t>
        </is>
      </c>
      <c r="B7" s="12" t="inlineStr">
        <is>
          <t>Amazon</t>
        </is>
      </c>
      <c r="C7" s="12" t="inlineStr">
        <is>
          <t>Stock</t>
        </is>
      </c>
      <c r="D7" s="12" t="inlineStr">
        <is>
          <t>Internet retail / cloud</t>
        </is>
      </c>
      <c r="E7" s="13" t="n">
        <v>61.916672</v>
      </c>
      <c r="F7" s="14" t="n">
        <v>229.2</v>
      </c>
      <c r="G7" s="14" t="n">
        <v>243.79</v>
      </c>
      <c r="H7" s="14" t="n">
        <v>226.96</v>
      </c>
      <c r="I7" s="14" t="n">
        <v>254.89</v>
      </c>
      <c r="J7" s="14" t="n">
        <v>243.44</v>
      </c>
      <c r="K7" s="14" t="n">
        <v>244.3</v>
      </c>
      <c r="L7" s="14" t="n">
        <v>280.14</v>
      </c>
      <c r="M7" s="14" t="n">
        <v>287.2</v>
      </c>
      <c r="N7" s="14" t="n">
        <v>440.05</v>
      </c>
      <c r="O7" s="14" t="n">
        <v>333.68</v>
      </c>
      <c r="P7" s="14" t="n">
        <v>350</v>
      </c>
      <c r="Q7" s="14" t="n">
        <v>350</v>
      </c>
      <c r="R7" s="12" t="inlineStr">
        <is>
          <t>MED</t>
        </is>
      </c>
      <c r="S7" s="12" t="inlineStr">
        <is>
          <t>DEEP VALUE +100% (low)</t>
        </is>
      </c>
      <c r="T7" s="12" t="inlineStr">
        <is>
          <t>INNOVATING</t>
        </is>
      </c>
      <c r="U7" s="15" t="n">
        <v>46324</v>
      </c>
      <c r="V7" s="6">
        <f>IF(AND(Inputs!$B$6="After-hours",N(H7)&gt;0),H7,G7)</f>
        <v/>
      </c>
      <c r="W7" s="16">
        <f>E7*V7</f>
        <v/>
      </c>
      <c r="X7" s="16">
        <f>E7*F7</f>
        <v/>
      </c>
      <c r="Y7" s="17">
        <f>W7-X7</f>
        <v/>
      </c>
      <c r="Z7" s="7">
        <f>IFERROR(Y7/X7,"")</f>
        <v/>
      </c>
      <c r="AA7" s="18">
        <f>W7/$W$27</f>
        <v/>
      </c>
      <c r="AB7" s="7">
        <f>IFERROR(IF(N(H7)&gt;0,H7/G7-1,""),"")</f>
        <v/>
      </c>
      <c r="AC7" s="7">
        <f>IFERROR(V7/I7-1,"")</f>
        <v/>
      </c>
      <c r="AD7" s="7">
        <f>IFERROR(V7/J7-1,"")</f>
        <v/>
      </c>
      <c r="AE7" s="7">
        <f>IFERROR(V7/M7-1,"")</f>
        <v/>
      </c>
      <c r="AF7" s="7">
        <f>IF(N(Q7)&gt;0,Q7/V7-1,"")</f>
        <v/>
      </c>
      <c r="AG7" s="6">
        <f>IF(N(Q7)&gt;0,Q7*Inputs!$B$7,"")</f>
        <v/>
      </c>
      <c r="AH7" s="6">
        <f>IF(N(Q7)&gt;0,Q7*(1+Inputs!$B$8),"")</f>
        <v/>
      </c>
      <c r="AI7" s="19">
        <f>E7*Inputs!$B$9</f>
        <v/>
      </c>
      <c r="AJ7" s="16">
        <f>IF(N(AG7)&gt;0,AI7*AG7,"")</f>
        <v/>
      </c>
      <c r="AK7" s="6">
        <f>MAX(K7*(1-Inputs!$B$10),F7*(1-IF(ISNUMBER(SEARCH("Lev",C7)),Inputs!$B$12,Inputs!$B$11)))</f>
        <v/>
      </c>
      <c r="AL7" s="7">
        <f>IFERROR(V7/AK7-1,"")</f>
        <v/>
      </c>
      <c r="AM7" s="6">
        <f>IF(V7&gt;=F7/(1-Inputs!$B$13),MAX(F7,L7*(1-Inputs!$B$13)),"not green yet")</f>
        <v/>
      </c>
      <c r="AN7" s="5">
        <f>IF(AND(N(Q7)&gt;0,V7&gt;AK7,AG7&gt;V7),(AG7-V7)/(V7-AK7),"")</f>
        <v/>
      </c>
      <c r="AO7" s="4">
        <f>IF(W7&lt;100,"DUST: clean up",IF(V7&lt;AK7,"REVIEW: below support / max loss",IF(AND(N(Q7)&gt;0,V7&gt;=AH7),"SELL 2nd TRIM, trail the rest",IF(AND(N(Q7)&gt;0,V7&gt;=AG7),"TRIM 1/3 + thesis re-check",IF(AA7&gt;IF(ISNUMBER(SEARCH("Lev",C7)),Inputs!$B$15,Inputs!$B$14),"OVERWEIGHT: trim to cap",IF(IF(ISNUMBER(U7),AND(U7&gt;Inputs!$B$5,U7-Inputs!$B$5&lt;=Inputs!$B$16),FALSE),"HOLD: earnings soon",IF(N(Q7)=0,"HOLD: no target","HOLD")))))))</f>
        <v/>
      </c>
      <c r="AP7" s="8">
        <f>IFERROR(INDEX('Rank Calc'!$P$5:$P$53,MATCH($A7,'Rank Calc'!$A$5:$A$53,0)),"")</f>
        <v/>
      </c>
      <c r="AQ7" s="20" t="inlineStr">
        <is>
          <t>Q3 EPS 1.89 vs 1.97 est (miss); -6.9% after hours. Below 60-day low AH.</t>
        </is>
      </c>
    </row>
    <row r="8">
      <c r="A8" s="12" t="inlineStr">
        <is>
          <t>SOXL</t>
        </is>
      </c>
      <c r="B8" s="12" t="inlineStr">
        <is>
          <t>Direxion Semis 3x Bull</t>
        </is>
      </c>
      <c r="C8" s="12" t="inlineStr">
        <is>
          <t>3x Lev ETF</t>
        </is>
      </c>
      <c r="D8" s="12" t="inlineStr">
        <is>
          <t>Semiconductors</t>
        </is>
      </c>
      <c r="E8" s="13" t="n">
        <v>145</v>
      </c>
      <c r="F8" s="14" t="n">
        <v>86.37</v>
      </c>
      <c r="G8" s="14" t="n">
        <v>102.39</v>
      </c>
      <c r="H8" s="14" t="n">
        <v>87.39</v>
      </c>
      <c r="I8" s="14" t="n">
        <v>122.07</v>
      </c>
      <c r="J8" s="14" t="n">
        <v>124.17</v>
      </c>
      <c r="K8" s="14" t="n">
        <v>80.22</v>
      </c>
      <c r="L8" s="14" t="n">
        <v>169.83</v>
      </c>
      <c r="M8" s="14" t="n">
        <v>302</v>
      </c>
      <c r="N8" s="14" t="n"/>
      <c r="O8" s="14" t="n"/>
      <c r="P8" s="14" t="n"/>
      <c r="Q8" s="14" t="n">
        <v>122.07</v>
      </c>
      <c r="R8" s="12" t="inlineStr">
        <is>
          <t>TECH (50-day)</t>
        </is>
      </c>
      <c r="S8" s="12" t="inlineStr">
        <is>
          <t>n/a</t>
        </is>
      </c>
      <c r="T8" s="12" t="inlineStr">
        <is>
          <t>N/A</t>
        </is>
      </c>
      <c r="U8" s="15" t="inlineStr">
        <is>
          <t>n/a</t>
        </is>
      </c>
      <c r="V8" s="6">
        <f>IF(AND(Inputs!$B$6="After-hours",N(H8)&gt;0),H8,G8)</f>
        <v/>
      </c>
      <c r="W8" s="16">
        <f>E8*V8</f>
        <v/>
      </c>
      <c r="X8" s="16">
        <f>E8*F8</f>
        <v/>
      </c>
      <c r="Y8" s="17">
        <f>W8-X8</f>
        <v/>
      </c>
      <c r="Z8" s="7">
        <f>IFERROR(Y8/X8,"")</f>
        <v/>
      </c>
      <c r="AA8" s="18">
        <f>W8/$W$27</f>
        <v/>
      </c>
      <c r="AB8" s="7">
        <f>IFERROR(IF(N(H8)&gt;0,H8/G8-1,""),"")</f>
        <v/>
      </c>
      <c r="AC8" s="7">
        <f>IFERROR(V8/I8-1,"")</f>
        <v/>
      </c>
      <c r="AD8" s="7">
        <f>IFERROR(V8/J8-1,"")</f>
        <v/>
      </c>
      <c r="AE8" s="7">
        <f>IFERROR(V8/M8-1,"")</f>
        <v/>
      </c>
      <c r="AF8" s="7">
        <f>IF(N(Q8)&gt;0,Q8/V8-1,"")</f>
        <v/>
      </c>
      <c r="AG8" s="6">
        <f>IF(N(Q8)&gt;0,Q8*Inputs!$B$7,"")</f>
        <v/>
      </c>
      <c r="AH8" s="6">
        <f>IF(N(Q8)&gt;0,Q8*(1+Inputs!$B$8),"")</f>
        <v/>
      </c>
      <c r="AI8" s="19">
        <f>E8*Inputs!$B$9</f>
        <v/>
      </c>
      <c r="AJ8" s="16">
        <f>IF(N(AG8)&gt;0,AI8*AG8,"")</f>
        <v/>
      </c>
      <c r="AK8" s="6">
        <f>MAX(K8*(1-Inputs!$B$10),F8*(1-IF(ISNUMBER(SEARCH("Lev",C8)),Inputs!$B$12,Inputs!$B$11)))</f>
        <v/>
      </c>
      <c r="AL8" s="7">
        <f>IFERROR(V8/AK8-1,"")</f>
        <v/>
      </c>
      <c r="AM8" s="6">
        <f>IF(V8&gt;=F8/(1-Inputs!$B$13),MAX(F8,L8*(1-Inputs!$B$13)),"not green yet")</f>
        <v/>
      </c>
      <c r="AN8" s="5">
        <f>IF(AND(N(Q8)&gt;0,V8&gt;AK8,AG8&gt;V8),(AG8-V8)/(V8-AK8),"")</f>
        <v/>
      </c>
      <c r="AO8" s="4">
        <f>IF(W8&lt;100,"DUST: clean up",IF(V8&lt;AK8,"REVIEW: below support / max loss",IF(AND(N(Q8)&gt;0,V8&gt;=AH8),"SELL 2nd TRIM, trail the rest",IF(AND(N(Q8)&gt;0,V8&gt;=AG8),"TRIM 1/3 + thesis re-check",IF(AA8&gt;IF(ISNUMBER(SEARCH("Lev",C8)),Inputs!$B$15,Inputs!$B$14),"OVERWEIGHT: trim to cap",IF(IF(ISNUMBER(U8),AND(U8&gt;Inputs!$B$5,U8-Inputs!$B$5&lt;=Inputs!$B$16),FALSE),"HOLD: earnings soon",IF(N(Q8)=0,"HOLD: no target","HOLD")))))))</f>
        <v/>
      </c>
      <c r="AP8" s="8">
        <f>IFERROR(INDEX('Rank Calc'!$P$5:$P$53,MATCH($A8,'Rank Calc'!$A$5:$A$53,0)),"")</f>
        <v/>
      </c>
      <c r="AQ8" s="20" t="inlineStr">
        <is>
          <t>3x daily leverage, decays in chop. No analyst target: target = 50-day SMA (first resistance). -14.6% AH.</t>
        </is>
      </c>
    </row>
    <row r="9">
      <c r="A9" s="12" t="inlineStr">
        <is>
          <t>SPCX</t>
        </is>
      </c>
      <c r="B9" s="12" t="inlineStr">
        <is>
          <t>SpaceX</t>
        </is>
      </c>
      <c r="C9" s="12" t="inlineStr">
        <is>
          <t>Stock</t>
        </is>
      </c>
      <c r="D9" s="12" t="inlineStr">
        <is>
          <t>Space / telecom / AI</t>
        </is>
      </c>
      <c r="E9" s="13" t="n">
        <v>65</v>
      </c>
      <c r="F9" s="14" t="n">
        <v>154.95</v>
      </c>
      <c r="G9" s="14" t="n">
        <v>143.89</v>
      </c>
      <c r="H9" s="14" t="n">
        <v>140.71</v>
      </c>
      <c r="I9" s="14" t="n">
        <v>149.57</v>
      </c>
      <c r="J9" s="14" t="n">
        <v>147.94</v>
      </c>
      <c r="K9" s="14" t="n">
        <v>105.11</v>
      </c>
      <c r="L9" s="14" t="n">
        <v>176.42</v>
      </c>
      <c r="M9" s="14" t="n">
        <v>225.64</v>
      </c>
      <c r="N9" s="14" t="n"/>
      <c r="O9" s="14" t="n">
        <v>256</v>
      </c>
      <c r="P9" s="14" t="n">
        <v>240</v>
      </c>
      <c r="Q9" s="14" t="n">
        <v>248</v>
      </c>
      <c r="R9" s="12" t="inlineStr">
        <is>
          <t>MED</t>
        </is>
      </c>
      <c r="S9" s="12" t="inlineStr">
        <is>
          <t>n/a</t>
        </is>
      </c>
      <c r="T9" s="12" t="inlineStr">
        <is>
          <t>N/A</t>
        </is>
      </c>
      <c r="U9" s="15" t="inlineStr">
        <is>
          <t>n/a</t>
        </is>
      </c>
      <c r="V9" s="6">
        <f>IF(AND(Inputs!$B$6="After-hours",N(H9)&gt;0),H9,G9)</f>
        <v/>
      </c>
      <c r="W9" s="16">
        <f>E9*V9</f>
        <v/>
      </c>
      <c r="X9" s="16">
        <f>E9*F9</f>
        <v/>
      </c>
      <c r="Y9" s="17">
        <f>W9-X9</f>
        <v/>
      </c>
      <c r="Z9" s="7">
        <f>IFERROR(Y9/X9,"")</f>
        <v/>
      </c>
      <c r="AA9" s="18">
        <f>W9/$W$27</f>
        <v/>
      </c>
      <c r="AB9" s="7">
        <f>IFERROR(IF(N(H9)&gt;0,H9/G9-1,""),"")</f>
        <v/>
      </c>
      <c r="AC9" s="7">
        <f>IFERROR(V9/I9-1,"")</f>
        <v/>
      </c>
      <c r="AD9" s="7">
        <f>IFERROR(V9/J9-1,"")</f>
        <v/>
      </c>
      <c r="AE9" s="7">
        <f>IFERROR(V9/M9-1,"")</f>
        <v/>
      </c>
      <c r="AF9" s="7">
        <f>IF(N(Q9)&gt;0,Q9/V9-1,"")</f>
        <v/>
      </c>
      <c r="AG9" s="6">
        <f>IF(N(Q9)&gt;0,Q9*Inputs!$B$7,"")</f>
        <v/>
      </c>
      <c r="AH9" s="6">
        <f>IF(N(Q9)&gt;0,Q9*(1+Inputs!$B$8),"")</f>
        <v/>
      </c>
      <c r="AI9" s="19">
        <f>E9*Inputs!$B$9</f>
        <v/>
      </c>
      <c r="AJ9" s="16">
        <f>IF(N(AG9)&gt;0,AI9*AG9,"")</f>
        <v/>
      </c>
      <c r="AK9" s="6">
        <f>MAX(K9*(1-Inputs!$B$10),F9*(1-IF(ISNUMBER(SEARCH("Lev",C9)),Inputs!$B$12,Inputs!$B$11)))</f>
        <v/>
      </c>
      <c r="AL9" s="7">
        <f>IFERROR(V9/AK9-1,"")</f>
        <v/>
      </c>
      <c r="AM9" s="6">
        <f>IF(V9&gt;=F9/(1-Inputs!$B$13),MAX(F9,L9*(1-Inputs!$B$13)),"not green yet")</f>
        <v/>
      </c>
      <c r="AN9" s="5">
        <f>IF(AND(N(Q9)&gt;0,V9&gt;AK9,AG9&gt;V9),(AG9-V9)/(V9-AK9),"")</f>
        <v/>
      </c>
      <c r="AO9" s="4">
        <f>IF(W9&lt;100,"DUST: clean up",IF(V9&lt;AK9,"REVIEW: below support / max loss",IF(AND(N(Q9)&gt;0,V9&gt;=AH9),"SELL 2nd TRIM, trail the rest",IF(AND(N(Q9)&gt;0,V9&gt;=AG9),"TRIM 1/3 + thesis re-check",IF(AA9&gt;IF(ISNUMBER(SEARCH("Lev",C9)),Inputs!$B$15,Inputs!$B$14),"OVERWEIGHT: trim to cap",IF(IF(ISNUMBER(U9),AND(U9&gt;Inputs!$B$5,U9-Inputs!$B$5&lt;=Inputs!$B$16),FALSE),"HOLD: earnings soon",IF(N(Q9)=0,"HOLD: no target","HOLD")))))))</f>
        <v/>
      </c>
      <c r="AP9" s="8">
        <f>IFERROR(INDEX('Rank Calc'!$P$5:$P$53,MATCH($A9,'Rank Calc'!$A$5:$A$53,0)),"")</f>
        <v/>
      </c>
      <c r="AQ9" s="20" t="inlineStr"/>
    </row>
    <row r="10">
      <c r="A10" s="12" t="inlineStr">
        <is>
          <t>NBIS</t>
        </is>
      </c>
      <c r="B10" s="12" t="inlineStr">
        <is>
          <t>Nebius Group</t>
        </is>
      </c>
      <c r="C10" s="12" t="inlineStr">
        <is>
          <t>Stock</t>
        </is>
      </c>
      <c r="D10" s="12" t="inlineStr">
        <is>
          <t>AI cloud</t>
        </is>
      </c>
      <c r="E10" s="13" t="n">
        <v>46</v>
      </c>
      <c r="F10" s="14" t="n">
        <v>162.87</v>
      </c>
      <c r="G10" s="14" t="n">
        <v>171.99</v>
      </c>
      <c r="H10" s="14" t="n">
        <v>164.33</v>
      </c>
      <c r="I10" s="14" t="n">
        <v>211.23</v>
      </c>
      <c r="J10" s="14" t="n">
        <v>177.28</v>
      </c>
      <c r="K10" s="14" t="n">
        <v>149.48</v>
      </c>
      <c r="L10" s="14" t="n">
        <v>280.83</v>
      </c>
      <c r="M10" s="14" t="n">
        <v>299.86</v>
      </c>
      <c r="N10" s="14" t="n"/>
      <c r="O10" s="14" t="n">
        <v>286.71</v>
      </c>
      <c r="P10" s="14" t="n">
        <v>250</v>
      </c>
      <c r="Q10" s="14" t="n">
        <v>268.36</v>
      </c>
      <c r="R10" s="12" t="inlineStr">
        <is>
          <t>MED</t>
        </is>
      </c>
      <c r="S10" s="12" t="inlineStr">
        <is>
          <t>EXPENSIVE -50% (low)</t>
        </is>
      </c>
      <c r="T10" s="12" t="inlineStr">
        <is>
          <t>DISRUPTOR</t>
        </is>
      </c>
      <c r="U10" s="15" t="n">
        <v>46336</v>
      </c>
      <c r="V10" s="6">
        <f>IF(AND(Inputs!$B$6="After-hours",N(H10)&gt;0),H10,G10)</f>
        <v/>
      </c>
      <c r="W10" s="16">
        <f>E10*V10</f>
        <v/>
      </c>
      <c r="X10" s="16">
        <f>E10*F10</f>
        <v/>
      </c>
      <c r="Y10" s="17">
        <f>W10-X10</f>
        <v/>
      </c>
      <c r="Z10" s="7">
        <f>IFERROR(Y10/X10,"")</f>
        <v/>
      </c>
      <c r="AA10" s="18">
        <f>W10/$W$27</f>
        <v/>
      </c>
      <c r="AB10" s="7">
        <f>IFERROR(IF(N(H10)&gt;0,H10/G10-1,""),"")</f>
        <v/>
      </c>
      <c r="AC10" s="7">
        <f>IFERROR(V10/I10-1,"")</f>
        <v/>
      </c>
      <c r="AD10" s="7">
        <f>IFERROR(V10/J10-1,"")</f>
        <v/>
      </c>
      <c r="AE10" s="7">
        <f>IFERROR(V10/M10-1,"")</f>
        <v/>
      </c>
      <c r="AF10" s="7">
        <f>IF(N(Q10)&gt;0,Q10/V10-1,"")</f>
        <v/>
      </c>
      <c r="AG10" s="6">
        <f>IF(N(Q10)&gt;0,Q10*Inputs!$B$7,"")</f>
        <v/>
      </c>
      <c r="AH10" s="6">
        <f>IF(N(Q10)&gt;0,Q10*(1+Inputs!$B$8),"")</f>
        <v/>
      </c>
      <c r="AI10" s="19">
        <f>E10*Inputs!$B$9</f>
        <v/>
      </c>
      <c r="AJ10" s="16">
        <f>IF(N(AG10)&gt;0,AI10*AG10,"")</f>
        <v/>
      </c>
      <c r="AK10" s="6">
        <f>MAX(K10*(1-Inputs!$B$10),F10*(1-IF(ISNUMBER(SEARCH("Lev",C10)),Inputs!$B$12,Inputs!$B$11)))</f>
        <v/>
      </c>
      <c r="AL10" s="7">
        <f>IFERROR(V10/AK10-1,"")</f>
        <v/>
      </c>
      <c r="AM10" s="6">
        <f>IF(V10&gt;=F10/(1-Inputs!$B$13),MAX(F10,L10*(1-Inputs!$B$13)),"not green yet")</f>
        <v/>
      </c>
      <c r="AN10" s="5">
        <f>IF(AND(N(Q10)&gt;0,V10&gt;AK10,AG10&gt;V10),(AG10-V10)/(V10-AK10),"")</f>
        <v/>
      </c>
      <c r="AO10" s="4">
        <f>IF(W10&lt;100,"DUST: clean up",IF(V10&lt;AK10,"REVIEW: below support / max loss",IF(AND(N(Q10)&gt;0,V10&gt;=AH10),"SELL 2nd TRIM, trail the rest",IF(AND(N(Q10)&gt;0,V10&gt;=AG10),"TRIM 1/3 + thesis re-check",IF(AA10&gt;IF(ISNUMBER(SEARCH("Lev",C10)),Inputs!$B$15,Inputs!$B$14),"OVERWEIGHT: trim to cap",IF(IF(ISNUMBER(U10),AND(U10&gt;Inputs!$B$5,U10-Inputs!$B$5&lt;=Inputs!$B$16),FALSE),"HOLD: earnings soon",IF(N(Q10)=0,"HOLD: no target","HOLD")))))))</f>
        <v/>
      </c>
      <c r="AP10" s="8">
        <f>IFERROR(INDEX('Rank Calc'!$P$5:$P$53,MATCH($A10,'Rank Calc'!$A$5:$A$53,0)),"")</f>
        <v/>
      </c>
      <c r="AQ10" s="20" t="inlineStr">
        <is>
          <t>Earnings date unverified.</t>
        </is>
      </c>
    </row>
    <row r="11">
      <c r="A11" s="12" t="inlineStr">
        <is>
          <t>MPWR</t>
        </is>
      </c>
      <c r="B11" s="12" t="inlineStr">
        <is>
          <t>Monolithic Power</t>
        </is>
      </c>
      <c r="C11" s="12" t="inlineStr">
        <is>
          <t>Stock</t>
        </is>
      </c>
      <c r="D11" s="12" t="inlineStr">
        <is>
          <t>Semiconductors</t>
        </is>
      </c>
      <c r="E11" s="13" t="n">
        <v>6</v>
      </c>
      <c r="F11" s="14" t="n">
        <v>1165.4</v>
      </c>
      <c r="G11" s="14" t="n">
        <v>1198.81</v>
      </c>
      <c r="H11" s="14" t="n">
        <v>1190.01</v>
      </c>
      <c r="I11" s="14" t="n">
        <v>1276.92</v>
      </c>
      <c r="J11" s="14" t="n">
        <v>1315.16</v>
      </c>
      <c r="K11" s="14" t="n">
        <v>1126.57</v>
      </c>
      <c r="L11" s="14" t="n">
        <v>1491.64</v>
      </c>
      <c r="M11" s="14" t="n">
        <v>1714.09</v>
      </c>
      <c r="N11" s="14" t="n">
        <v>1870.2</v>
      </c>
      <c r="O11" s="14" t="n">
        <v>1807.46</v>
      </c>
      <c r="P11" s="14" t="n"/>
      <c r="Q11" s="14" t="n">
        <v>1838.83</v>
      </c>
      <c r="R11" s="12" t="inlineStr">
        <is>
          <t>HIGH</t>
        </is>
      </c>
      <c r="S11" s="12" t="inlineStr">
        <is>
          <t>RICH -23% (low)</t>
        </is>
      </c>
      <c r="T11" s="12" t="inlineStr">
        <is>
          <t>INNOVATING</t>
        </is>
      </c>
      <c r="U11" s="15" t="n">
        <v>46324</v>
      </c>
      <c r="V11" s="6">
        <f>IF(AND(Inputs!$B$6="After-hours",N(H11)&gt;0),H11,G11)</f>
        <v/>
      </c>
      <c r="W11" s="16">
        <f>E11*V11</f>
        <v/>
      </c>
      <c r="X11" s="16">
        <f>E11*F11</f>
        <v/>
      </c>
      <c r="Y11" s="17">
        <f>W11-X11</f>
        <v/>
      </c>
      <c r="Z11" s="7">
        <f>IFERROR(Y11/X11,"")</f>
        <v/>
      </c>
      <c r="AA11" s="18">
        <f>W11/$W$27</f>
        <v/>
      </c>
      <c r="AB11" s="7">
        <f>IFERROR(IF(N(H11)&gt;0,H11/G11-1,""),"")</f>
        <v/>
      </c>
      <c r="AC11" s="7">
        <f>IFERROR(V11/I11-1,"")</f>
        <v/>
      </c>
      <c r="AD11" s="7">
        <f>IFERROR(V11/J11-1,"")</f>
        <v/>
      </c>
      <c r="AE11" s="7">
        <f>IFERROR(V11/M11-1,"")</f>
        <v/>
      </c>
      <c r="AF11" s="7">
        <f>IF(N(Q11)&gt;0,Q11/V11-1,"")</f>
        <v/>
      </c>
      <c r="AG11" s="6">
        <f>IF(N(Q11)&gt;0,Q11*Inputs!$B$7,"")</f>
        <v/>
      </c>
      <c r="AH11" s="6">
        <f>IF(N(Q11)&gt;0,Q11*(1+Inputs!$B$8),"")</f>
        <v/>
      </c>
      <c r="AI11" s="19">
        <f>E11*Inputs!$B$9</f>
        <v/>
      </c>
      <c r="AJ11" s="16">
        <f>IF(N(AG11)&gt;0,AI11*AG11,"")</f>
        <v/>
      </c>
      <c r="AK11" s="6">
        <f>MAX(K11*(1-Inputs!$B$10),F11*(1-IF(ISNUMBER(SEARCH("Lev",C11)),Inputs!$B$12,Inputs!$B$11)))</f>
        <v/>
      </c>
      <c r="AL11" s="7">
        <f>IFERROR(V11/AK11-1,"")</f>
        <v/>
      </c>
      <c r="AM11" s="6">
        <f>IF(V11&gt;=F11/(1-Inputs!$B$13),MAX(F11,L11*(1-Inputs!$B$13)),"not green yet")</f>
        <v/>
      </c>
      <c r="AN11" s="5">
        <f>IF(AND(N(Q11)&gt;0,V11&gt;AK11,AG11&gt;V11),(AG11-V11)/(V11-AK11),"")</f>
        <v/>
      </c>
      <c r="AO11" s="4">
        <f>IF(W11&lt;100,"DUST: clean up",IF(V11&lt;AK11,"REVIEW: below support / max loss",IF(AND(N(Q11)&gt;0,V11&gt;=AH11),"SELL 2nd TRIM, trail the rest",IF(AND(N(Q11)&gt;0,V11&gt;=AG11),"TRIM 1/3 + thesis re-check",IF(AA11&gt;IF(ISNUMBER(SEARCH("Lev",C11)),Inputs!$B$15,Inputs!$B$14),"OVERWEIGHT: trim to cap",IF(IF(ISNUMBER(U11),AND(U11&gt;Inputs!$B$5,U11-Inputs!$B$5&lt;=Inputs!$B$16),FALSE),"HOLD: earnings soon",IF(N(Q11)=0,"HOLD: no target","HOLD")))))))</f>
        <v/>
      </c>
      <c r="AP11" s="8">
        <f>IFERROR(INDEX('Rank Calc'!$P$5:$P$53,MATCH($A11,'Rank Calc'!$A$5:$A$53,0)),"")</f>
        <v/>
      </c>
      <c r="AQ11" s="20" t="inlineStr">
        <is>
          <t>Q3 EPS 8.19 vs 7.56 est (beat).</t>
        </is>
      </c>
    </row>
    <row r="12">
      <c r="A12" s="12" t="inlineStr">
        <is>
          <t>CDNS</t>
        </is>
      </c>
      <c r="B12" s="12" t="inlineStr">
        <is>
          <t>Cadence Design</t>
        </is>
      </c>
      <c r="C12" s="12" t="inlineStr">
        <is>
          <t>Stock</t>
        </is>
      </c>
      <c r="D12" s="12" t="inlineStr">
        <is>
          <t>EDA software</t>
        </is>
      </c>
      <c r="E12" s="13" t="n">
        <v>20</v>
      </c>
      <c r="F12" s="14" t="n">
        <v>316.43</v>
      </c>
      <c r="G12" s="14" t="n">
        <v>342.75</v>
      </c>
      <c r="H12" s="14" t="n">
        <v>337.94</v>
      </c>
      <c r="I12" s="14" t="n">
        <v>320.24</v>
      </c>
      <c r="J12" s="14" t="n">
        <v>327.46</v>
      </c>
      <c r="K12" s="14" t="n">
        <v>273.07</v>
      </c>
      <c r="L12" s="14" t="n">
        <v>361.91</v>
      </c>
      <c r="M12" s="14" t="n">
        <v>416.69</v>
      </c>
      <c r="N12" s="14" t="n">
        <v>593.26</v>
      </c>
      <c r="O12" s="14" t="n">
        <v>415.04</v>
      </c>
      <c r="P12" s="14" t="n"/>
      <c r="Q12" s="14" t="n">
        <v>504.15</v>
      </c>
      <c r="R12" s="12" t="inlineStr">
        <is>
          <t>LOW</t>
        </is>
      </c>
      <c r="S12" s="12" t="inlineStr">
        <is>
          <t>FAIR -9% (high)</t>
        </is>
      </c>
      <c r="T12" s="12" t="inlineStr">
        <is>
          <t>INNOVATING</t>
        </is>
      </c>
      <c r="U12" s="15" t="inlineStr">
        <is>
          <t>n/a</t>
        </is>
      </c>
      <c r="V12" s="6">
        <f>IF(AND(Inputs!$B$6="After-hours",N(H12)&gt;0),H12,G12)</f>
        <v/>
      </c>
      <c r="W12" s="16">
        <f>E12*V12</f>
        <v/>
      </c>
      <c r="X12" s="16">
        <f>E12*F12</f>
        <v/>
      </c>
      <c r="Y12" s="17">
        <f>W12-X12</f>
        <v/>
      </c>
      <c r="Z12" s="7">
        <f>IFERROR(Y12/X12,"")</f>
        <v/>
      </c>
      <c r="AA12" s="18">
        <f>W12/$W$27</f>
        <v/>
      </c>
      <c r="AB12" s="7">
        <f>IFERROR(IF(N(H12)&gt;0,H12/G12-1,""),"")</f>
        <v/>
      </c>
      <c r="AC12" s="7">
        <f>IFERROR(V12/I12-1,"")</f>
        <v/>
      </c>
      <c r="AD12" s="7">
        <f>IFERROR(V12/J12-1,"")</f>
        <v/>
      </c>
      <c r="AE12" s="7">
        <f>IFERROR(V12/M12-1,"")</f>
        <v/>
      </c>
      <c r="AF12" s="7">
        <f>IF(N(Q12)&gt;0,Q12/V12-1,"")</f>
        <v/>
      </c>
      <c r="AG12" s="6">
        <f>IF(N(Q12)&gt;0,Q12*Inputs!$B$7,"")</f>
        <v/>
      </c>
      <c r="AH12" s="6">
        <f>IF(N(Q12)&gt;0,Q12*(1+Inputs!$B$8),"")</f>
        <v/>
      </c>
      <c r="AI12" s="19">
        <f>E12*Inputs!$B$9</f>
        <v/>
      </c>
      <c r="AJ12" s="16">
        <f>IF(N(AG12)&gt;0,AI12*AG12,"")</f>
        <v/>
      </c>
      <c r="AK12" s="6">
        <f>MAX(K12*(1-Inputs!$B$10),F12*(1-IF(ISNUMBER(SEARCH("Lev",C12)),Inputs!$B$12,Inputs!$B$11)))</f>
        <v/>
      </c>
      <c r="AL12" s="7">
        <f>IFERROR(V12/AK12-1,"")</f>
        <v/>
      </c>
      <c r="AM12" s="6">
        <f>IF(V12&gt;=F12/(1-Inputs!$B$13),MAX(F12,L12*(1-Inputs!$B$13)),"not green yet")</f>
        <v/>
      </c>
      <c r="AN12" s="5">
        <f>IF(AND(N(Q12)&gt;0,V12&gt;AK12,AG12&gt;V12),(AG12-V12)/(V12-AK12),"")</f>
        <v/>
      </c>
      <c r="AO12" s="4">
        <f>IF(W12&lt;100,"DUST: clean up",IF(V12&lt;AK12,"REVIEW: below support / max loss",IF(AND(N(Q12)&gt;0,V12&gt;=AH12),"SELL 2nd TRIM, trail the rest",IF(AND(N(Q12)&gt;0,V12&gt;=AG12),"TRIM 1/3 + thesis re-check",IF(AA12&gt;IF(ISNUMBER(SEARCH("Lev",C12)),Inputs!$B$15,Inputs!$B$14),"OVERWEIGHT: trim to cap",IF(IF(ISNUMBER(U12),AND(U12&gt;Inputs!$B$5,U12-Inputs!$B$5&lt;=Inputs!$B$16),FALSE),"HOLD: earnings soon",IF(N(Q12)=0,"HOLD: no target","HOLD")))))))</f>
        <v/>
      </c>
      <c r="AP12" s="8">
        <f>IFERROR(INDEX('Rank Calc'!$P$5:$P$53,MATCH($A12,'Rank Calc'!$A$5:$A$53,0)),"")</f>
        <v/>
      </c>
      <c r="AQ12" s="20" t="inlineStr">
        <is>
          <t>Target agreement LOW: fundamental and Robinhood targets 35% apart.</t>
        </is>
      </c>
    </row>
    <row r="13">
      <c r="A13" s="12" t="inlineStr">
        <is>
          <t>NOW</t>
        </is>
      </c>
      <c r="B13" s="12" t="inlineStr">
        <is>
          <t>ServiceNow</t>
        </is>
      </c>
      <c r="C13" s="12" t="inlineStr">
        <is>
          <t>Stock</t>
        </is>
      </c>
      <c r="D13" s="12" t="inlineStr">
        <is>
          <t>Software</t>
        </is>
      </c>
      <c r="E13" s="13" t="n">
        <v>46.881838</v>
      </c>
      <c r="F13" s="14" t="n">
        <v>103.9</v>
      </c>
      <c r="G13" s="14" t="n">
        <v>109.67</v>
      </c>
      <c r="H13" s="14" t="n">
        <v>109.23</v>
      </c>
      <c r="I13" s="14" t="n">
        <v>139.99</v>
      </c>
      <c r="J13" s="14" t="n">
        <v>115.34</v>
      </c>
      <c r="K13" s="14" t="n">
        <v>111.8</v>
      </c>
      <c r="L13" s="14" t="n">
        <v>159.5</v>
      </c>
      <c r="M13" s="14" t="n">
        <v>192.97</v>
      </c>
      <c r="N13" s="14" t="n"/>
      <c r="O13" s="14" t="n">
        <v>158.78</v>
      </c>
      <c r="P13" s="14" t="n">
        <v>195.5</v>
      </c>
      <c r="Q13" s="14" t="n">
        <v>177.14</v>
      </c>
      <c r="R13" s="12" t="inlineStr">
        <is>
          <t>MED</t>
        </is>
      </c>
      <c r="S13" s="12" t="inlineStr">
        <is>
          <t>DEEP VALUE +92% (low)</t>
        </is>
      </c>
      <c r="T13" s="12" t="inlineStr">
        <is>
          <t>DISRUPTOR</t>
        </is>
      </c>
      <c r="U13" s="15" t="inlineStr">
        <is>
          <t>n/a</t>
        </is>
      </c>
      <c r="V13" s="6">
        <f>IF(AND(Inputs!$B$6="After-hours",N(H13)&gt;0),H13,G13)</f>
        <v/>
      </c>
      <c r="W13" s="16">
        <f>E13*V13</f>
        <v/>
      </c>
      <c r="X13" s="16">
        <f>E13*F13</f>
        <v/>
      </c>
      <c r="Y13" s="17">
        <f>W13-X13</f>
        <v/>
      </c>
      <c r="Z13" s="7">
        <f>IFERROR(Y13/X13,"")</f>
        <v/>
      </c>
      <c r="AA13" s="18">
        <f>W13/$W$27</f>
        <v/>
      </c>
      <c r="AB13" s="7">
        <f>IFERROR(IF(N(H13)&gt;0,H13/G13-1,""),"")</f>
        <v/>
      </c>
      <c r="AC13" s="7">
        <f>IFERROR(V13/I13-1,"")</f>
        <v/>
      </c>
      <c r="AD13" s="7">
        <f>IFERROR(V13/J13-1,"")</f>
        <v/>
      </c>
      <c r="AE13" s="7">
        <f>IFERROR(V13/M13-1,"")</f>
        <v/>
      </c>
      <c r="AF13" s="7">
        <f>IF(N(Q13)&gt;0,Q13/V13-1,"")</f>
        <v/>
      </c>
      <c r="AG13" s="6">
        <f>IF(N(Q13)&gt;0,Q13*Inputs!$B$7,"")</f>
        <v/>
      </c>
      <c r="AH13" s="6">
        <f>IF(N(Q13)&gt;0,Q13*(1+Inputs!$B$8),"")</f>
        <v/>
      </c>
      <c r="AI13" s="19">
        <f>E13*Inputs!$B$9</f>
        <v/>
      </c>
      <c r="AJ13" s="16">
        <f>IF(N(AG13)&gt;0,AI13*AG13,"")</f>
        <v/>
      </c>
      <c r="AK13" s="6">
        <f>MAX(K13*(1-Inputs!$B$10),F13*(1-IF(ISNUMBER(SEARCH("Lev",C13)),Inputs!$B$12,Inputs!$B$11)))</f>
        <v/>
      </c>
      <c r="AL13" s="7">
        <f>IFERROR(V13/AK13-1,"")</f>
        <v/>
      </c>
      <c r="AM13" s="6">
        <f>IF(V13&gt;=F13/(1-Inputs!$B$13),MAX(F13,L13*(1-Inputs!$B$13)),"not green yet")</f>
        <v/>
      </c>
      <c r="AN13" s="5">
        <f>IF(AND(N(Q13)&gt;0,V13&gt;AK13,AG13&gt;V13),(AG13-V13)/(V13-AK13),"")</f>
        <v/>
      </c>
      <c r="AO13" s="4">
        <f>IF(W13&lt;100,"DUST: clean up",IF(V13&lt;AK13,"REVIEW: below support / max loss",IF(AND(N(Q13)&gt;0,V13&gt;=AH13),"SELL 2nd TRIM, trail the rest",IF(AND(N(Q13)&gt;0,V13&gt;=AG13),"TRIM 1/3 + thesis re-check",IF(AA13&gt;IF(ISNUMBER(SEARCH("Lev",C13)),Inputs!$B$15,Inputs!$B$14),"OVERWEIGHT: trim to cap",IF(IF(ISNUMBER(U13),AND(U13&gt;Inputs!$B$5,U13-Inputs!$B$5&lt;=Inputs!$B$16),FALSE),"HOLD: earnings soon",IF(N(Q13)=0,"HOLD: no target","HOLD")))))))</f>
        <v/>
      </c>
      <c r="AP13" s="8">
        <f>IFERROR(INDEX('Rank Calc'!$P$5:$P$53,MATCH($A13,'Rank Calc'!$A$5:$A$53,0)),"")</f>
        <v/>
      </c>
      <c r="AQ13" s="20" t="inlineStr">
        <is>
          <t>Closed below its 60-day low on 10/29.</t>
        </is>
      </c>
    </row>
    <row r="14">
      <c r="A14" s="12" t="inlineStr">
        <is>
          <t>ASND</t>
        </is>
      </c>
      <c r="B14" s="12" t="inlineStr">
        <is>
          <t>Ascendis Pharma</t>
        </is>
      </c>
      <c r="C14" s="12" t="inlineStr">
        <is>
          <t>Stock</t>
        </is>
      </c>
      <c r="D14" s="12" t="inlineStr">
        <is>
          <t>Biotech</t>
        </is>
      </c>
      <c r="E14" s="13" t="n">
        <v>20</v>
      </c>
      <c r="F14" s="14" t="n">
        <v>226.14</v>
      </c>
      <c r="G14" s="14" t="n">
        <v>253</v>
      </c>
      <c r="H14" s="14" t="n">
        <v>253</v>
      </c>
      <c r="I14" s="14" t="n">
        <v>242.38</v>
      </c>
      <c r="J14" s="14" t="n">
        <v>237.93</v>
      </c>
      <c r="K14" s="14" t="n">
        <v>219.52</v>
      </c>
      <c r="L14" s="14" t="n">
        <v>272.47</v>
      </c>
      <c r="M14" s="14" t="n">
        <v>282.15</v>
      </c>
      <c r="N14" s="14" t="n"/>
      <c r="O14" s="14" t="n">
        <v>302.81</v>
      </c>
      <c r="P14" s="14" t="n">
        <v>302</v>
      </c>
      <c r="Q14" s="14" t="n">
        <v>302.4</v>
      </c>
      <c r="R14" s="12" t="inlineStr">
        <is>
          <t>MED</t>
        </is>
      </c>
      <c r="S14" s="12" t="inlineStr">
        <is>
          <t>n/a</t>
        </is>
      </c>
      <c r="T14" s="12" t="inlineStr">
        <is>
          <t>DISRUPTOR</t>
        </is>
      </c>
      <c r="U14" s="15" t="n">
        <v>46337</v>
      </c>
      <c r="V14" s="6">
        <f>IF(AND(Inputs!$B$6="After-hours",N(H14)&gt;0),H14,G14)</f>
        <v/>
      </c>
      <c r="W14" s="16">
        <f>E14*V14</f>
        <v/>
      </c>
      <c r="X14" s="16">
        <f>E14*F14</f>
        <v/>
      </c>
      <c r="Y14" s="17">
        <f>W14-X14</f>
        <v/>
      </c>
      <c r="Z14" s="7">
        <f>IFERROR(Y14/X14,"")</f>
        <v/>
      </c>
      <c r="AA14" s="18">
        <f>W14/$W$27</f>
        <v/>
      </c>
      <c r="AB14" s="7">
        <f>IFERROR(IF(N(H14)&gt;0,H14/G14-1,""),"")</f>
        <v/>
      </c>
      <c r="AC14" s="7">
        <f>IFERROR(V14/I14-1,"")</f>
        <v/>
      </c>
      <c r="AD14" s="7">
        <f>IFERROR(V14/J14-1,"")</f>
        <v/>
      </c>
      <c r="AE14" s="7">
        <f>IFERROR(V14/M14-1,"")</f>
        <v/>
      </c>
      <c r="AF14" s="7">
        <f>IF(N(Q14)&gt;0,Q14/V14-1,"")</f>
        <v/>
      </c>
      <c r="AG14" s="6">
        <f>IF(N(Q14)&gt;0,Q14*Inputs!$B$7,"")</f>
        <v/>
      </c>
      <c r="AH14" s="6">
        <f>IF(N(Q14)&gt;0,Q14*(1+Inputs!$B$8),"")</f>
        <v/>
      </c>
      <c r="AI14" s="19">
        <f>E14*Inputs!$B$9</f>
        <v/>
      </c>
      <c r="AJ14" s="16">
        <f>IF(N(AG14)&gt;0,AI14*AG14,"")</f>
        <v/>
      </c>
      <c r="AK14" s="6">
        <f>MAX(K14*(1-Inputs!$B$10),F14*(1-IF(ISNUMBER(SEARCH("Lev",C14)),Inputs!$B$12,Inputs!$B$11)))</f>
        <v/>
      </c>
      <c r="AL14" s="7">
        <f>IFERROR(V14/AK14-1,"")</f>
        <v/>
      </c>
      <c r="AM14" s="6">
        <f>IF(V14&gt;=F14/(1-Inputs!$B$13),MAX(F14,L14*(1-Inputs!$B$13)),"not green yet")</f>
        <v/>
      </c>
      <c r="AN14" s="5">
        <f>IF(AND(N(Q14)&gt;0,V14&gt;AK14,AG14&gt;V14),(AG14-V14)/(V14-AK14),"")</f>
        <v/>
      </c>
      <c r="AO14" s="4">
        <f>IF(W14&lt;100,"DUST: clean up",IF(V14&lt;AK14,"REVIEW: below support / max loss",IF(AND(N(Q14)&gt;0,V14&gt;=AH14),"SELL 2nd TRIM, trail the rest",IF(AND(N(Q14)&gt;0,V14&gt;=AG14),"TRIM 1/3 + thesis re-check",IF(AA14&gt;IF(ISNUMBER(SEARCH("Lev",C14)),Inputs!$B$15,Inputs!$B$14),"OVERWEIGHT: trim to cap",IF(IF(ISNUMBER(U14),AND(U14&gt;Inputs!$B$5,U14-Inputs!$B$5&lt;=Inputs!$B$16),FALSE),"HOLD: earnings soon",IF(N(Q14)=0,"HOLD: no target","HOLD")))))))</f>
        <v/>
      </c>
      <c r="AP14" s="8">
        <f>IFERROR(INDEX('Rank Calc'!$P$5:$P$53,MATCH($A14,'Rank Calc'!$A$5:$A$53,0)),"")</f>
        <v/>
      </c>
      <c r="AQ14" s="20" t="inlineStr">
        <is>
          <t>Earnings date unverified.</t>
        </is>
      </c>
    </row>
    <row r="15">
      <c r="A15" s="12" t="inlineStr">
        <is>
          <t>VST</t>
        </is>
      </c>
      <c r="B15" s="12" t="inlineStr">
        <is>
          <t>Vistra</t>
        </is>
      </c>
      <c r="C15" s="12" t="inlineStr">
        <is>
          <t>Stock</t>
        </is>
      </c>
      <c r="D15" s="12" t="inlineStr">
        <is>
          <t>Power generation</t>
        </is>
      </c>
      <c r="E15" s="13" t="n">
        <v>35</v>
      </c>
      <c r="F15" s="14" t="n">
        <v>140.54</v>
      </c>
      <c r="G15" s="14" t="n">
        <v>140.95</v>
      </c>
      <c r="H15" s="14" t="n">
        <v>137.85</v>
      </c>
      <c r="I15" s="14" t="n">
        <v>145.12</v>
      </c>
      <c r="J15" s="14" t="n">
        <v>153.77</v>
      </c>
      <c r="K15" s="14" t="n">
        <v>133.44</v>
      </c>
      <c r="L15" s="14" t="n">
        <v>168.75</v>
      </c>
      <c r="M15" s="14" t="n">
        <v>198.82</v>
      </c>
      <c r="N15" s="14" t="n">
        <v>234.71</v>
      </c>
      <c r="O15" s="14" t="n">
        <v>207.86</v>
      </c>
      <c r="P15" s="14" t="n">
        <v>224</v>
      </c>
      <c r="Q15" s="14" t="n">
        <v>224</v>
      </c>
      <c r="R15" s="12" t="inlineStr">
        <is>
          <t>HIGH</t>
        </is>
      </c>
      <c r="S15" s="12" t="inlineStr">
        <is>
          <t>EXPENSIVE -35% (low)</t>
        </is>
      </c>
      <c r="T15" s="12" t="inlineStr">
        <is>
          <t>STABLE</t>
        </is>
      </c>
      <c r="U15" s="15" t="n">
        <v>46332</v>
      </c>
      <c r="V15" s="6">
        <f>IF(AND(Inputs!$B$6="After-hours",N(H15)&gt;0),H15,G15)</f>
        <v/>
      </c>
      <c r="W15" s="16">
        <f>E15*V15</f>
        <v/>
      </c>
      <c r="X15" s="16">
        <f>E15*F15</f>
        <v/>
      </c>
      <c r="Y15" s="17">
        <f>W15-X15</f>
        <v/>
      </c>
      <c r="Z15" s="7">
        <f>IFERROR(Y15/X15,"")</f>
        <v/>
      </c>
      <c r="AA15" s="18">
        <f>W15/$W$27</f>
        <v/>
      </c>
      <c r="AB15" s="7">
        <f>IFERROR(IF(N(H15)&gt;0,H15/G15-1,""),"")</f>
        <v/>
      </c>
      <c r="AC15" s="7">
        <f>IFERROR(V15/I15-1,"")</f>
        <v/>
      </c>
      <c r="AD15" s="7">
        <f>IFERROR(V15/J15-1,"")</f>
        <v/>
      </c>
      <c r="AE15" s="7">
        <f>IFERROR(V15/M15-1,"")</f>
        <v/>
      </c>
      <c r="AF15" s="7">
        <f>IF(N(Q15)&gt;0,Q15/V15-1,"")</f>
        <v/>
      </c>
      <c r="AG15" s="6">
        <f>IF(N(Q15)&gt;0,Q15*Inputs!$B$7,"")</f>
        <v/>
      </c>
      <c r="AH15" s="6">
        <f>IF(N(Q15)&gt;0,Q15*(1+Inputs!$B$8),"")</f>
        <v/>
      </c>
      <c r="AI15" s="19">
        <f>E15*Inputs!$B$9</f>
        <v/>
      </c>
      <c r="AJ15" s="16">
        <f>IF(N(AG15)&gt;0,AI15*AG15,"")</f>
        <v/>
      </c>
      <c r="AK15" s="6">
        <f>MAX(K15*(1-Inputs!$B$10),F15*(1-IF(ISNUMBER(SEARCH("Lev",C15)),Inputs!$B$12,Inputs!$B$11)))</f>
        <v/>
      </c>
      <c r="AL15" s="7">
        <f>IFERROR(V15/AK15-1,"")</f>
        <v/>
      </c>
      <c r="AM15" s="6">
        <f>IF(V15&gt;=F15/(1-Inputs!$B$13),MAX(F15,L15*(1-Inputs!$B$13)),"not green yet")</f>
        <v/>
      </c>
      <c r="AN15" s="5">
        <f>IF(AND(N(Q15)&gt;0,V15&gt;AK15,AG15&gt;V15),(AG15-V15)/(V15-AK15),"")</f>
        <v/>
      </c>
      <c r="AO15" s="4">
        <f>IF(W15&lt;100,"DUST: clean up",IF(V15&lt;AK15,"REVIEW: below support / max loss",IF(AND(N(Q15)&gt;0,V15&gt;=AH15),"SELL 2nd TRIM, trail the rest",IF(AND(N(Q15)&gt;0,V15&gt;=AG15),"TRIM 1/3 + thesis re-check",IF(AA15&gt;IF(ISNUMBER(SEARCH("Lev",C15)),Inputs!$B$15,Inputs!$B$14),"OVERWEIGHT: trim to cap",IF(IF(ISNUMBER(U15),AND(U15&gt;Inputs!$B$5,U15-Inputs!$B$5&lt;=Inputs!$B$16),FALSE),"HOLD: earnings soon",IF(N(Q15)=0,"HOLD: no target","HOLD")))))))</f>
        <v/>
      </c>
      <c r="AP15" s="8">
        <f>IFERROR(INDEX('Rank Calc'!$P$5:$P$53,MATCH($A15,'Rank Calc'!$A$5:$A$53,0)),"")</f>
        <v/>
      </c>
      <c r="AQ15" s="20" t="inlineStr"/>
    </row>
    <row r="16">
      <c r="A16" s="12" t="inlineStr">
        <is>
          <t>CRDO</t>
        </is>
      </c>
      <c r="B16" s="12" t="inlineStr">
        <is>
          <t>Credo Technology</t>
        </is>
      </c>
      <c r="C16" s="12" t="inlineStr">
        <is>
          <t>Stock</t>
        </is>
      </c>
      <c r="D16" s="12" t="inlineStr">
        <is>
          <t>Semiconductors</t>
        </is>
      </c>
      <c r="E16" s="13" t="n">
        <v>25</v>
      </c>
      <c r="F16" s="14" t="n">
        <v>164.53</v>
      </c>
      <c r="G16" s="14" t="n">
        <v>165.29</v>
      </c>
      <c r="H16" s="14" t="n">
        <v>155.65</v>
      </c>
      <c r="I16" s="14" t="n">
        <v>190.17</v>
      </c>
      <c r="J16" s="14" t="n">
        <v>181.14</v>
      </c>
      <c r="K16" s="14" t="n">
        <v>142.89</v>
      </c>
      <c r="L16" s="14" t="n">
        <v>286.24</v>
      </c>
      <c r="M16" s="14" t="n">
        <v>308.67</v>
      </c>
      <c r="N16" s="14" t="n">
        <v>189.97</v>
      </c>
      <c r="O16" s="14" t="n">
        <v>281.59</v>
      </c>
      <c r="P16" s="14" t="n">
        <v>292</v>
      </c>
      <c r="Q16" s="14" t="n">
        <v>281.59</v>
      </c>
      <c r="R16" s="12" t="inlineStr">
        <is>
          <t>LOW</t>
        </is>
      </c>
      <c r="S16" s="12" t="inlineStr">
        <is>
          <t>EXPENSIVE -31% (low)</t>
        </is>
      </c>
      <c r="T16" s="12" t="inlineStr">
        <is>
          <t>DISRUPTOR</t>
        </is>
      </c>
      <c r="U16" s="15" t="inlineStr">
        <is>
          <t>n/a</t>
        </is>
      </c>
      <c r="V16" s="6">
        <f>IF(AND(Inputs!$B$6="After-hours",N(H16)&gt;0),H16,G16)</f>
        <v/>
      </c>
      <c r="W16" s="16">
        <f>E16*V16</f>
        <v/>
      </c>
      <c r="X16" s="16">
        <f>E16*F16</f>
        <v/>
      </c>
      <c r="Y16" s="17">
        <f>W16-X16</f>
        <v/>
      </c>
      <c r="Z16" s="7">
        <f>IFERROR(Y16/X16,"")</f>
        <v/>
      </c>
      <c r="AA16" s="18">
        <f>W16/$W$27</f>
        <v/>
      </c>
      <c r="AB16" s="7">
        <f>IFERROR(IF(N(H16)&gt;0,H16/G16-1,""),"")</f>
        <v/>
      </c>
      <c r="AC16" s="7">
        <f>IFERROR(V16/I16-1,"")</f>
        <v/>
      </c>
      <c r="AD16" s="7">
        <f>IFERROR(V16/J16-1,"")</f>
        <v/>
      </c>
      <c r="AE16" s="7">
        <f>IFERROR(V16/M16-1,"")</f>
        <v/>
      </c>
      <c r="AF16" s="7">
        <f>IF(N(Q16)&gt;0,Q16/V16-1,"")</f>
        <v/>
      </c>
      <c r="AG16" s="6">
        <f>IF(N(Q16)&gt;0,Q16*Inputs!$B$7,"")</f>
        <v/>
      </c>
      <c r="AH16" s="6">
        <f>IF(N(Q16)&gt;0,Q16*(1+Inputs!$B$8),"")</f>
        <v/>
      </c>
      <c r="AI16" s="19">
        <f>E16*Inputs!$B$9</f>
        <v/>
      </c>
      <c r="AJ16" s="16">
        <f>IF(N(AG16)&gt;0,AI16*AG16,"")</f>
        <v/>
      </c>
      <c r="AK16" s="6">
        <f>MAX(K16*(1-Inputs!$B$10),F16*(1-IF(ISNUMBER(SEARCH("Lev",C16)),Inputs!$B$12,Inputs!$B$11)))</f>
        <v/>
      </c>
      <c r="AL16" s="7">
        <f>IFERROR(V16/AK16-1,"")</f>
        <v/>
      </c>
      <c r="AM16" s="6">
        <f>IF(V16&gt;=F16/(1-Inputs!$B$13),MAX(F16,L16*(1-Inputs!$B$13)),"not green yet")</f>
        <v/>
      </c>
      <c r="AN16" s="5">
        <f>IF(AND(N(Q16)&gt;0,V16&gt;AK16,AG16&gt;V16),(AG16-V16)/(V16-AK16),"")</f>
        <v/>
      </c>
      <c r="AO16" s="4">
        <f>IF(W16&lt;100,"DUST: clean up",IF(V16&lt;AK16,"REVIEW: below support / max loss",IF(AND(N(Q16)&gt;0,V16&gt;=AH16),"SELL 2nd TRIM, trail the rest",IF(AND(N(Q16)&gt;0,V16&gt;=AG16),"TRIM 1/3 + thesis re-check",IF(AA16&gt;IF(ISNUMBER(SEARCH("Lev",C16)),Inputs!$B$15,Inputs!$B$14),"OVERWEIGHT: trim to cap",IF(IF(ISNUMBER(U16),AND(U16&gt;Inputs!$B$5,U16-Inputs!$B$5&lt;=Inputs!$B$16),FALSE),"HOLD: earnings soon",IF(N(Q16)=0,"HOLD: no target","HOLD")))))))</f>
        <v/>
      </c>
      <c r="AP16" s="8">
        <f>IFERROR(INDEX('Rank Calc'!$P$5:$P$53,MATCH($A16,'Rank Calc'!$A$5:$A$53,0)),"")</f>
        <v/>
      </c>
      <c r="AQ16" s="20" t="inlineStr">
        <is>
          <t>-5.8% after hours.</t>
        </is>
      </c>
    </row>
    <row r="17">
      <c r="A17" s="12" t="inlineStr">
        <is>
          <t>SNDK</t>
        </is>
      </c>
      <c r="B17" s="12" t="inlineStr">
        <is>
          <t>Sandisk</t>
        </is>
      </c>
      <c r="C17" s="12" t="inlineStr">
        <is>
          <t>Stock</t>
        </is>
      </c>
      <c r="D17" s="12" t="inlineStr">
        <is>
          <t>Memory</t>
        </is>
      </c>
      <c r="E17" s="13" t="n">
        <v>3</v>
      </c>
      <c r="F17" s="14" t="n">
        <v>1278.16</v>
      </c>
      <c r="G17" s="14" t="n">
        <v>1330.05</v>
      </c>
      <c r="H17" s="14" t="n">
        <v>1309.34</v>
      </c>
      <c r="I17" s="14" t="n">
        <v>1568.4</v>
      </c>
      <c r="J17" s="14" t="n">
        <v>1255.73</v>
      </c>
      <c r="K17" s="14" t="n">
        <v>1163.09</v>
      </c>
      <c r="L17" s="14" t="n">
        <v>1909.48</v>
      </c>
      <c r="M17" s="14" t="n">
        <v>2354.39</v>
      </c>
      <c r="N17" s="14" t="n"/>
      <c r="O17" s="14" t="n">
        <v>2287.38</v>
      </c>
      <c r="P17" s="14" t="n">
        <v>1737.5</v>
      </c>
      <c r="Q17" s="14" t="n">
        <v>2012.44</v>
      </c>
      <c r="R17" s="12" t="inlineStr">
        <is>
          <t>MED</t>
        </is>
      </c>
      <c r="S17" s="12" t="inlineStr">
        <is>
          <t>EXPENSIVE -50% (low)</t>
        </is>
      </c>
      <c r="T17" s="12" t="inlineStr">
        <is>
          <t>INNOVATING</t>
        </is>
      </c>
      <c r="U17" s="15" t="n">
        <v>46324</v>
      </c>
      <c r="V17" s="6">
        <f>IF(AND(Inputs!$B$6="After-hours",N(H17)&gt;0),H17,G17)</f>
        <v/>
      </c>
      <c r="W17" s="16">
        <f>E17*V17</f>
        <v/>
      </c>
      <c r="X17" s="16">
        <f>E17*F17</f>
        <v/>
      </c>
      <c r="Y17" s="17">
        <f>W17-X17</f>
        <v/>
      </c>
      <c r="Z17" s="7">
        <f>IFERROR(Y17/X17,"")</f>
        <v/>
      </c>
      <c r="AA17" s="18">
        <f>W17/$W$27</f>
        <v/>
      </c>
      <c r="AB17" s="7">
        <f>IFERROR(IF(N(H17)&gt;0,H17/G17-1,""),"")</f>
        <v/>
      </c>
      <c r="AC17" s="7">
        <f>IFERROR(V17/I17-1,"")</f>
        <v/>
      </c>
      <c r="AD17" s="7">
        <f>IFERROR(V17/J17-1,"")</f>
        <v/>
      </c>
      <c r="AE17" s="7">
        <f>IFERROR(V17/M17-1,"")</f>
        <v/>
      </c>
      <c r="AF17" s="7">
        <f>IF(N(Q17)&gt;0,Q17/V17-1,"")</f>
        <v/>
      </c>
      <c r="AG17" s="6">
        <f>IF(N(Q17)&gt;0,Q17*Inputs!$B$7,"")</f>
        <v/>
      </c>
      <c r="AH17" s="6">
        <f>IF(N(Q17)&gt;0,Q17*(1+Inputs!$B$8),"")</f>
        <v/>
      </c>
      <c r="AI17" s="19">
        <f>E17*Inputs!$B$9</f>
        <v/>
      </c>
      <c r="AJ17" s="16">
        <f>IF(N(AG17)&gt;0,AI17*AG17,"")</f>
        <v/>
      </c>
      <c r="AK17" s="6">
        <f>MAX(K17*(1-Inputs!$B$10),F17*(1-IF(ISNUMBER(SEARCH("Lev",C17)),Inputs!$B$12,Inputs!$B$11)))</f>
        <v/>
      </c>
      <c r="AL17" s="7">
        <f>IFERROR(V17/AK17-1,"")</f>
        <v/>
      </c>
      <c r="AM17" s="6">
        <f>IF(V17&gt;=F17/(1-Inputs!$B$13),MAX(F17,L17*(1-Inputs!$B$13)),"not green yet")</f>
        <v/>
      </c>
      <c r="AN17" s="5">
        <f>IF(AND(N(Q17)&gt;0,V17&gt;AK17,AG17&gt;V17),(AG17-V17)/(V17-AK17),"")</f>
        <v/>
      </c>
      <c r="AO17" s="4">
        <f>IF(W17&lt;100,"DUST: clean up",IF(V17&lt;AK17,"REVIEW: below support / max loss",IF(AND(N(Q17)&gt;0,V17&gt;=AH17),"SELL 2nd TRIM, trail the rest",IF(AND(N(Q17)&gt;0,V17&gt;=AG17),"TRIM 1/3 + thesis re-check",IF(AA17&gt;IF(ISNUMBER(SEARCH("Lev",C17)),Inputs!$B$15,Inputs!$B$14),"OVERWEIGHT: trim to cap",IF(IF(ISNUMBER(U17),AND(U17&gt;Inputs!$B$5,U17-Inputs!$B$5&lt;=Inputs!$B$16),FALSE),"HOLD: earnings soon",IF(N(Q17)=0,"HOLD: no target","HOLD")))))))</f>
        <v/>
      </c>
      <c r="AP17" s="8">
        <f>IFERROR(INDEX('Rank Calc'!$P$5:$P$53,MATCH($A17,'Rank Calc'!$A$5:$A$53,0)),"")</f>
        <v/>
      </c>
      <c r="AQ17" s="20" t="inlineStr">
        <is>
          <t>FQ1 EPS 49.51 vs 46.36 est (beat).</t>
        </is>
      </c>
    </row>
    <row r="18">
      <c r="A18" s="12" t="inlineStr">
        <is>
          <t>OKLO</t>
        </is>
      </c>
      <c r="B18" s="12" t="inlineStr">
        <is>
          <t>Oklo</t>
        </is>
      </c>
      <c r="C18" s="12" t="inlineStr">
        <is>
          <t>Stock</t>
        </is>
      </c>
      <c r="D18" s="12" t="inlineStr">
        <is>
          <t>Nuclear (pre-revenue)</t>
        </is>
      </c>
      <c r="E18" s="13" t="n">
        <v>100</v>
      </c>
      <c r="F18" s="14" t="n">
        <v>26.73</v>
      </c>
      <c r="G18" s="14" t="n">
        <v>26.81</v>
      </c>
      <c r="H18" s="14" t="n">
        <v>25.78</v>
      </c>
      <c r="I18" s="14" t="n">
        <v>35.86</v>
      </c>
      <c r="J18" s="14" t="n">
        <v>54.21</v>
      </c>
      <c r="K18" s="14" t="n">
        <v>25.39</v>
      </c>
      <c r="L18" s="14" t="n">
        <v>49.48</v>
      </c>
      <c r="M18" s="14" t="n">
        <v>145.3</v>
      </c>
      <c r="N18" s="14" t="n"/>
      <c r="O18" s="14" t="n">
        <v>62.83</v>
      </c>
      <c r="P18" s="14" t="n">
        <v>37</v>
      </c>
      <c r="Q18" s="14" t="n">
        <v>49.91</v>
      </c>
      <c r="R18" s="12" t="inlineStr">
        <is>
          <t>LOW</t>
        </is>
      </c>
      <c r="S18" s="12" t="inlineStr">
        <is>
          <t>n/a</t>
        </is>
      </c>
      <c r="T18" s="12" t="inlineStr">
        <is>
          <t>N/A</t>
        </is>
      </c>
      <c r="U18" s="15" t="n">
        <v>46332</v>
      </c>
      <c r="V18" s="6">
        <f>IF(AND(Inputs!$B$6="After-hours",N(H18)&gt;0),H18,G18)</f>
        <v/>
      </c>
      <c r="W18" s="16">
        <f>E18*V18</f>
        <v/>
      </c>
      <c r="X18" s="16">
        <f>E18*F18</f>
        <v/>
      </c>
      <c r="Y18" s="17">
        <f>W18-X18</f>
        <v/>
      </c>
      <c r="Z18" s="7">
        <f>IFERROR(Y18/X18,"")</f>
        <v/>
      </c>
      <c r="AA18" s="18">
        <f>W18/$W$27</f>
        <v/>
      </c>
      <c r="AB18" s="7">
        <f>IFERROR(IF(N(H18)&gt;0,H18/G18-1,""),"")</f>
        <v/>
      </c>
      <c r="AC18" s="7">
        <f>IFERROR(V18/I18-1,"")</f>
        <v/>
      </c>
      <c r="AD18" s="7">
        <f>IFERROR(V18/J18-1,"")</f>
        <v/>
      </c>
      <c r="AE18" s="7">
        <f>IFERROR(V18/M18-1,"")</f>
        <v/>
      </c>
      <c r="AF18" s="7">
        <f>IF(N(Q18)&gt;0,Q18/V18-1,"")</f>
        <v/>
      </c>
      <c r="AG18" s="6">
        <f>IF(N(Q18)&gt;0,Q18*Inputs!$B$7,"")</f>
        <v/>
      </c>
      <c r="AH18" s="6">
        <f>IF(N(Q18)&gt;0,Q18*(1+Inputs!$B$8),"")</f>
        <v/>
      </c>
      <c r="AI18" s="19">
        <f>E18*Inputs!$B$9</f>
        <v/>
      </c>
      <c r="AJ18" s="16">
        <f>IF(N(AG18)&gt;0,AI18*AG18,"")</f>
        <v/>
      </c>
      <c r="AK18" s="6">
        <f>MAX(K18*(1-Inputs!$B$10),F18*(1-IF(ISNUMBER(SEARCH("Lev",C18)),Inputs!$B$12,Inputs!$B$11)))</f>
        <v/>
      </c>
      <c r="AL18" s="7">
        <f>IFERROR(V18/AK18-1,"")</f>
        <v/>
      </c>
      <c r="AM18" s="6">
        <f>IF(V18&gt;=F18/(1-Inputs!$B$13),MAX(F18,L18*(1-Inputs!$B$13)),"not green yet")</f>
        <v/>
      </c>
      <c r="AN18" s="5">
        <f>IF(AND(N(Q18)&gt;0,V18&gt;AK18,AG18&gt;V18),(AG18-V18)/(V18-AK18),"")</f>
        <v/>
      </c>
      <c r="AO18" s="4">
        <f>IF(W18&lt;100,"DUST: clean up",IF(V18&lt;AK18,"REVIEW: below support / max loss",IF(AND(N(Q18)&gt;0,V18&gt;=AH18),"SELL 2nd TRIM, trail the rest",IF(AND(N(Q18)&gt;0,V18&gt;=AG18),"TRIM 1/3 + thesis re-check",IF(AA18&gt;IF(ISNUMBER(SEARCH("Lev",C18)),Inputs!$B$15,Inputs!$B$14),"OVERWEIGHT: trim to cap",IF(IF(ISNUMBER(U18),AND(U18&gt;Inputs!$B$5,U18-Inputs!$B$5&lt;=Inputs!$B$16),FALSE),"HOLD: earnings soon",IF(N(Q18)=0,"HOLD: no target","HOLD")))))))</f>
        <v/>
      </c>
      <c r="AP18" s="8">
        <f>IFERROR(INDEX('Rank Calc'!$P$5:$P$53,MATCH($A18,'Rank Calc'!$A$5:$A$53,0)),"")</f>
        <v/>
      </c>
      <c r="AQ18" s="20" t="inlineStr">
        <is>
          <t>At 52-week low. Targets disagree (52% spread).</t>
        </is>
      </c>
    </row>
    <row r="19">
      <c r="A19" s="12" t="inlineStr">
        <is>
          <t>AAOX</t>
        </is>
      </c>
      <c r="B19" s="12" t="inlineStr">
        <is>
          <t>AAOI 2x Leveraged ETF</t>
        </is>
      </c>
      <c r="C19" s="12" t="inlineStr">
        <is>
          <t>2x Lev ETF</t>
        </is>
      </c>
      <c r="D19" s="12" t="inlineStr">
        <is>
          <t>Optical networking</t>
        </is>
      </c>
      <c r="E19" s="13" t="n">
        <v>500</v>
      </c>
      <c r="F19" s="14" t="n">
        <v>3.84</v>
      </c>
      <c r="G19" s="14" t="n">
        <v>5.1</v>
      </c>
      <c r="H19" s="14" t="n">
        <v>4.49</v>
      </c>
      <c r="I19" s="14" t="n">
        <v>9.57</v>
      </c>
      <c r="J19" s="14" t="n">
        <v>28.89</v>
      </c>
      <c r="K19" s="14" t="n">
        <v>3.6</v>
      </c>
      <c r="L19" s="14" t="n">
        <v>27.57</v>
      </c>
      <c r="M19" s="14" t="n">
        <v>103</v>
      </c>
      <c r="N19" s="14" t="n"/>
      <c r="O19" s="14" t="n"/>
      <c r="P19" s="14" t="n"/>
      <c r="Q19" s="14" t="n">
        <v>9.57</v>
      </c>
      <c r="R19" s="12" t="inlineStr">
        <is>
          <t>TECH (50-day)</t>
        </is>
      </c>
      <c r="S19" s="12" t="inlineStr">
        <is>
          <t>n/a</t>
        </is>
      </c>
      <c r="T19" s="12" t="inlineStr">
        <is>
          <t>N/A</t>
        </is>
      </c>
      <c r="U19" s="15" t="inlineStr">
        <is>
          <t>n/a</t>
        </is>
      </c>
      <c r="V19" s="6">
        <f>IF(AND(Inputs!$B$6="After-hours",N(H19)&gt;0),H19,G19)</f>
        <v/>
      </c>
      <c r="W19" s="16">
        <f>E19*V19</f>
        <v/>
      </c>
      <c r="X19" s="16">
        <f>E19*F19</f>
        <v/>
      </c>
      <c r="Y19" s="17">
        <f>W19-X19</f>
        <v/>
      </c>
      <c r="Z19" s="7">
        <f>IFERROR(Y19/X19,"")</f>
        <v/>
      </c>
      <c r="AA19" s="18">
        <f>W19/$W$27</f>
        <v/>
      </c>
      <c r="AB19" s="7">
        <f>IFERROR(IF(N(H19)&gt;0,H19/G19-1,""),"")</f>
        <v/>
      </c>
      <c r="AC19" s="7">
        <f>IFERROR(V19/I19-1,"")</f>
        <v/>
      </c>
      <c r="AD19" s="7">
        <f>IFERROR(V19/J19-1,"")</f>
        <v/>
      </c>
      <c r="AE19" s="7">
        <f>IFERROR(V19/M19-1,"")</f>
        <v/>
      </c>
      <c r="AF19" s="7">
        <f>IF(N(Q19)&gt;0,Q19/V19-1,"")</f>
        <v/>
      </c>
      <c r="AG19" s="6">
        <f>IF(N(Q19)&gt;0,Q19*Inputs!$B$7,"")</f>
        <v/>
      </c>
      <c r="AH19" s="6">
        <f>IF(N(Q19)&gt;0,Q19*(1+Inputs!$B$8),"")</f>
        <v/>
      </c>
      <c r="AI19" s="19">
        <f>E19*Inputs!$B$9</f>
        <v/>
      </c>
      <c r="AJ19" s="16">
        <f>IF(N(AG19)&gt;0,AI19*AG19,"")</f>
        <v/>
      </c>
      <c r="AK19" s="6">
        <f>MAX(K19*(1-Inputs!$B$10),F19*(1-IF(ISNUMBER(SEARCH("Lev",C19)),Inputs!$B$12,Inputs!$B$11)))</f>
        <v/>
      </c>
      <c r="AL19" s="7">
        <f>IFERROR(V19/AK19-1,"")</f>
        <v/>
      </c>
      <c r="AM19" s="6">
        <f>IF(V19&gt;=F19/(1-Inputs!$B$13),MAX(F19,L19*(1-Inputs!$B$13)),"not green yet")</f>
        <v/>
      </c>
      <c r="AN19" s="5">
        <f>IF(AND(N(Q19)&gt;0,V19&gt;AK19,AG19&gt;V19),(AG19-V19)/(V19-AK19),"")</f>
        <v/>
      </c>
      <c r="AO19" s="4">
        <f>IF(W19&lt;100,"DUST: clean up",IF(V19&lt;AK19,"REVIEW: below support / max loss",IF(AND(N(Q19)&gt;0,V19&gt;=AH19),"SELL 2nd TRIM, trail the rest",IF(AND(N(Q19)&gt;0,V19&gt;=AG19),"TRIM 1/3 + thesis re-check",IF(AA19&gt;IF(ISNUMBER(SEARCH("Lev",C19)),Inputs!$B$15,Inputs!$B$14),"OVERWEIGHT: trim to cap",IF(IF(ISNUMBER(U19),AND(U19&gt;Inputs!$B$5,U19-Inputs!$B$5&lt;=Inputs!$B$16),FALSE),"HOLD: earnings soon",IF(N(Q19)=0,"HOLD: no target","HOLD")))))))</f>
        <v/>
      </c>
      <c r="AP19" s="8">
        <f>IFERROR(INDEX('Rank Calc'!$P$5:$P$53,MATCH($A19,'Rank Calc'!$A$5:$A$53,0)),"")</f>
        <v/>
      </c>
      <c r="AQ19" s="20" t="inlineStr">
        <is>
          <t>2x daily leverage on one stock; -95% from 52-wk high. Target = 50-day SMA.</t>
        </is>
      </c>
    </row>
    <row r="20">
      <c r="A20" s="12" t="inlineStr">
        <is>
          <t>GOOGL</t>
        </is>
      </c>
      <c r="B20" s="12" t="inlineStr">
        <is>
          <t>Alphabet</t>
        </is>
      </c>
      <c r="C20" s="12" t="inlineStr">
        <is>
          <t>Stock</t>
        </is>
      </c>
      <c r="D20" s="12" t="inlineStr">
        <is>
          <t>Internet</t>
        </is>
      </c>
      <c r="E20" s="13" t="n">
        <v>6.848872</v>
      </c>
      <c r="F20" s="14" t="n">
        <v>297.58</v>
      </c>
      <c r="G20" s="14" t="n">
        <v>283.82</v>
      </c>
      <c r="H20" s="14" t="n">
        <v>282.23</v>
      </c>
      <c r="I20" s="14" t="n">
        <v>341.11</v>
      </c>
      <c r="J20" s="14" t="n">
        <v>341.14</v>
      </c>
      <c r="K20" s="14" t="n">
        <v>316.6</v>
      </c>
      <c r="L20" s="14" t="n">
        <v>364.17</v>
      </c>
      <c r="M20" s="14" t="n">
        <v>408.61</v>
      </c>
      <c r="N20" s="14" t="n">
        <v>367.54</v>
      </c>
      <c r="O20" s="14" t="n">
        <v>405.31</v>
      </c>
      <c r="P20" s="14" t="n">
        <v>425</v>
      </c>
      <c r="Q20" s="14" t="n">
        <v>405.31</v>
      </c>
      <c r="R20" s="12" t="inlineStr">
        <is>
          <t>HIGH</t>
        </is>
      </c>
      <c r="S20" s="12" t="inlineStr">
        <is>
          <t>RICH -12% (low)</t>
        </is>
      </c>
      <c r="T20" s="12" t="inlineStr">
        <is>
          <t>DISRUPTOR</t>
        </is>
      </c>
      <c r="U20" s="15" t="inlineStr">
        <is>
          <t>n/a</t>
        </is>
      </c>
      <c r="V20" s="6">
        <f>IF(AND(Inputs!$B$6="After-hours",N(H20)&gt;0),H20,G20)</f>
        <v/>
      </c>
      <c r="W20" s="16">
        <f>E20*V20</f>
        <v/>
      </c>
      <c r="X20" s="16">
        <f>E20*F20</f>
        <v/>
      </c>
      <c r="Y20" s="17">
        <f>W20-X20</f>
        <v/>
      </c>
      <c r="Z20" s="7">
        <f>IFERROR(Y20/X20,"")</f>
        <v/>
      </c>
      <c r="AA20" s="18">
        <f>W20/$W$27</f>
        <v/>
      </c>
      <c r="AB20" s="7">
        <f>IFERROR(IF(N(H20)&gt;0,H20/G20-1,""),"")</f>
        <v/>
      </c>
      <c r="AC20" s="7">
        <f>IFERROR(V20/I20-1,"")</f>
        <v/>
      </c>
      <c r="AD20" s="7">
        <f>IFERROR(V20/J20-1,"")</f>
        <v/>
      </c>
      <c r="AE20" s="7">
        <f>IFERROR(V20/M20-1,"")</f>
        <v/>
      </c>
      <c r="AF20" s="7">
        <f>IF(N(Q20)&gt;0,Q20/V20-1,"")</f>
        <v/>
      </c>
      <c r="AG20" s="6">
        <f>IF(N(Q20)&gt;0,Q20*Inputs!$B$7,"")</f>
        <v/>
      </c>
      <c r="AH20" s="6">
        <f>IF(N(Q20)&gt;0,Q20*(1+Inputs!$B$8),"")</f>
        <v/>
      </c>
      <c r="AI20" s="19">
        <f>E20*Inputs!$B$9</f>
        <v/>
      </c>
      <c r="AJ20" s="16">
        <f>IF(N(AG20)&gt;0,AI20*AG20,"")</f>
        <v/>
      </c>
      <c r="AK20" s="6">
        <f>MAX(K20*(1-Inputs!$B$10),F20*(1-IF(ISNUMBER(SEARCH("Lev",C20)),Inputs!$B$12,Inputs!$B$11)))</f>
        <v/>
      </c>
      <c r="AL20" s="7">
        <f>IFERROR(V20/AK20-1,"")</f>
        <v/>
      </c>
      <c r="AM20" s="6">
        <f>IF(V20&gt;=F20/(1-Inputs!$B$13),MAX(F20,L20*(1-Inputs!$B$13)),"not green yet")</f>
        <v/>
      </c>
      <c r="AN20" s="5">
        <f>IF(AND(N(Q20)&gt;0,V20&gt;AK20,AG20&gt;V20),(AG20-V20)/(V20-AK20),"")</f>
        <v/>
      </c>
      <c r="AO20" s="4">
        <f>IF(W20&lt;100,"DUST: clean up",IF(V20&lt;AK20,"REVIEW: below support / max loss",IF(AND(N(Q20)&gt;0,V20&gt;=AH20),"SELL 2nd TRIM, trail the rest",IF(AND(N(Q20)&gt;0,V20&gt;=AG20),"TRIM 1/3 + thesis re-check",IF(AA20&gt;IF(ISNUMBER(SEARCH("Lev",C20)),Inputs!$B$15,Inputs!$B$14),"OVERWEIGHT: trim to cap",IF(IF(ISNUMBER(U20),AND(U20&gt;Inputs!$B$5,U20-Inputs!$B$5&lt;=Inputs!$B$16),FALSE),"HOLD: earnings soon",IF(N(Q20)=0,"HOLD: no target","HOLD")))))))</f>
        <v/>
      </c>
      <c r="AP20" s="8">
        <f>IFERROR(INDEX('Rank Calc'!$P$5:$P$53,MATCH($A20,'Rank Calc'!$A$5:$A$53,0)),"")</f>
        <v/>
      </c>
      <c r="AQ20" s="20" t="inlineStr">
        <is>
          <t>Well below 60-day low and both moving averages.</t>
        </is>
      </c>
    </row>
    <row r="21">
      <c r="A21" s="12" t="inlineStr">
        <is>
          <t>IONQ</t>
        </is>
      </c>
      <c r="B21" s="12" t="inlineStr">
        <is>
          <t>IonQ</t>
        </is>
      </c>
      <c r="C21" s="12" t="inlineStr">
        <is>
          <t>Stock</t>
        </is>
      </c>
      <c r="D21" s="12" t="inlineStr">
        <is>
          <t>Quantum computing</t>
        </is>
      </c>
      <c r="E21" s="13" t="n">
        <v>30</v>
      </c>
      <c r="F21" s="14" t="n">
        <v>33.21</v>
      </c>
      <c r="G21" s="14" t="n">
        <v>31.72</v>
      </c>
      <c r="H21" s="14" t="n">
        <v>30.81</v>
      </c>
      <c r="I21" s="14" t="n">
        <v>38.44</v>
      </c>
      <c r="J21" s="14" t="n">
        <v>42.15</v>
      </c>
      <c r="K21" s="14" t="n">
        <v>29.94</v>
      </c>
      <c r="L21" s="14" t="n">
        <v>47.95</v>
      </c>
      <c r="M21" s="14" t="n">
        <v>73.65000000000001</v>
      </c>
      <c r="N21" s="14" t="n"/>
      <c r="O21" s="14" t="n">
        <v>65.77</v>
      </c>
      <c r="P21" s="14" t="n"/>
      <c r="Q21" s="14" t="n">
        <v>65.77</v>
      </c>
      <c r="R21" s="12" t="inlineStr">
        <is>
          <t>LOW</t>
        </is>
      </c>
      <c r="S21" s="12" t="inlineStr">
        <is>
          <t>n/a</t>
        </is>
      </c>
      <c r="T21" s="12" t="inlineStr">
        <is>
          <t>AT RISK</t>
        </is>
      </c>
      <c r="U21" s="15" t="n">
        <v>46331</v>
      </c>
      <c r="V21" s="6">
        <f>IF(AND(Inputs!$B$6="After-hours",N(H21)&gt;0),H21,G21)</f>
        <v/>
      </c>
      <c r="W21" s="16">
        <f>E21*V21</f>
        <v/>
      </c>
      <c r="X21" s="16">
        <f>E21*F21</f>
        <v/>
      </c>
      <c r="Y21" s="17">
        <f>W21-X21</f>
        <v/>
      </c>
      <c r="Z21" s="7">
        <f>IFERROR(Y21/X21,"")</f>
        <v/>
      </c>
      <c r="AA21" s="18">
        <f>W21/$W$27</f>
        <v/>
      </c>
      <c r="AB21" s="7">
        <f>IFERROR(IF(N(H21)&gt;0,H21/G21-1,""),"")</f>
        <v/>
      </c>
      <c r="AC21" s="7">
        <f>IFERROR(V21/I21-1,"")</f>
        <v/>
      </c>
      <c r="AD21" s="7">
        <f>IFERROR(V21/J21-1,"")</f>
        <v/>
      </c>
      <c r="AE21" s="7">
        <f>IFERROR(V21/M21-1,"")</f>
        <v/>
      </c>
      <c r="AF21" s="7">
        <f>IF(N(Q21)&gt;0,Q21/V21-1,"")</f>
        <v/>
      </c>
      <c r="AG21" s="6">
        <f>IF(N(Q21)&gt;0,Q21*Inputs!$B$7,"")</f>
        <v/>
      </c>
      <c r="AH21" s="6">
        <f>IF(N(Q21)&gt;0,Q21*(1+Inputs!$B$8),"")</f>
        <v/>
      </c>
      <c r="AI21" s="19">
        <f>E21*Inputs!$B$9</f>
        <v/>
      </c>
      <c r="AJ21" s="16">
        <f>IF(N(AG21)&gt;0,AI21*AG21,"")</f>
        <v/>
      </c>
      <c r="AK21" s="6">
        <f>MAX(K21*(1-Inputs!$B$10),F21*(1-IF(ISNUMBER(SEARCH("Lev",C21)),Inputs!$B$12,Inputs!$B$11)))</f>
        <v/>
      </c>
      <c r="AL21" s="7">
        <f>IFERROR(V21/AK21-1,"")</f>
        <v/>
      </c>
      <c r="AM21" s="6">
        <f>IF(V21&gt;=F21/(1-Inputs!$B$13),MAX(F21,L21*(1-Inputs!$B$13)),"not green yet")</f>
        <v/>
      </c>
      <c r="AN21" s="5">
        <f>IF(AND(N(Q21)&gt;0,V21&gt;AK21,AG21&gt;V21),(AG21-V21)/(V21-AK21),"")</f>
        <v/>
      </c>
      <c r="AO21" s="4">
        <f>IF(W21&lt;100,"DUST: clean up",IF(V21&lt;AK21,"REVIEW: below support / max loss",IF(AND(N(Q21)&gt;0,V21&gt;=AH21),"SELL 2nd TRIM, trail the rest",IF(AND(N(Q21)&gt;0,V21&gt;=AG21),"TRIM 1/3 + thesis re-check",IF(AA21&gt;IF(ISNUMBER(SEARCH("Lev",C21)),Inputs!$B$15,Inputs!$B$14),"OVERWEIGHT: trim to cap",IF(IF(ISNUMBER(U21),AND(U21&gt;Inputs!$B$5,U21-Inputs!$B$5&lt;=Inputs!$B$16),FALSE),"HOLD: earnings soon",IF(N(Q21)=0,"HOLD: no target","HOLD")))))))</f>
        <v/>
      </c>
      <c r="AP21" s="8">
        <f>IFERROR(INDEX('Rank Calc'!$P$5:$P$53,MATCH($A21,'Rank Calc'!$A$5:$A$53,0)),"")</f>
        <v/>
      </c>
      <c r="AQ21" s="20" t="inlineStr">
        <is>
          <t>Only one target method available.</t>
        </is>
      </c>
    </row>
    <row r="22">
      <c r="A22" s="12" t="inlineStr">
        <is>
          <t>AUR</t>
        </is>
      </c>
      <c r="B22" s="12" t="inlineStr">
        <is>
          <t>Aurora Innovation</t>
        </is>
      </c>
      <c r="C22" s="12" t="inlineStr">
        <is>
          <t>Stock</t>
        </is>
      </c>
      <c r="D22" s="12" t="inlineStr">
        <is>
          <t>Autonomous trucking</t>
        </is>
      </c>
      <c r="E22" s="13" t="n">
        <v>200</v>
      </c>
      <c r="F22" s="14" t="n">
        <v>4.91</v>
      </c>
      <c r="G22" s="14" t="n">
        <v>4.405</v>
      </c>
      <c r="H22" s="14" t="n">
        <v>4.37</v>
      </c>
      <c r="I22" s="14" t="n">
        <v>5.73</v>
      </c>
      <c r="J22" s="14" t="n">
        <v>5.63</v>
      </c>
      <c r="K22" s="14" t="n">
        <v>4.4</v>
      </c>
      <c r="L22" s="14" t="n">
        <v>7.16</v>
      </c>
      <c r="M22" s="14" t="n">
        <v>8.57</v>
      </c>
      <c r="N22" s="14" t="n"/>
      <c r="O22" s="14" t="n">
        <v>11.33</v>
      </c>
      <c r="P22" s="14" t="n">
        <v>12.5</v>
      </c>
      <c r="Q22" s="14" t="n">
        <v>11.91</v>
      </c>
      <c r="R22" s="12" t="inlineStr">
        <is>
          <t>MED</t>
        </is>
      </c>
      <c r="S22" s="12" t="inlineStr">
        <is>
          <t>n/a</t>
        </is>
      </c>
      <c r="T22" s="12" t="inlineStr">
        <is>
          <t>INNOVATING</t>
        </is>
      </c>
      <c r="U22" s="15" t="inlineStr">
        <is>
          <t>n/a</t>
        </is>
      </c>
      <c r="V22" s="6">
        <f>IF(AND(Inputs!$B$6="After-hours",N(H22)&gt;0),H22,G22)</f>
        <v/>
      </c>
      <c r="W22" s="16">
        <f>E22*V22</f>
        <v/>
      </c>
      <c r="X22" s="16">
        <f>E22*F22</f>
        <v/>
      </c>
      <c r="Y22" s="17">
        <f>W22-X22</f>
        <v/>
      </c>
      <c r="Z22" s="7">
        <f>IFERROR(Y22/X22,"")</f>
        <v/>
      </c>
      <c r="AA22" s="18">
        <f>W22/$W$27</f>
        <v/>
      </c>
      <c r="AB22" s="7">
        <f>IFERROR(IF(N(H22)&gt;0,H22/G22-1,""),"")</f>
        <v/>
      </c>
      <c r="AC22" s="7">
        <f>IFERROR(V22/I22-1,"")</f>
        <v/>
      </c>
      <c r="AD22" s="7">
        <f>IFERROR(V22/J22-1,"")</f>
        <v/>
      </c>
      <c r="AE22" s="7">
        <f>IFERROR(V22/M22-1,"")</f>
        <v/>
      </c>
      <c r="AF22" s="7">
        <f>IF(N(Q22)&gt;0,Q22/V22-1,"")</f>
        <v/>
      </c>
      <c r="AG22" s="6">
        <f>IF(N(Q22)&gt;0,Q22*Inputs!$B$7,"")</f>
        <v/>
      </c>
      <c r="AH22" s="6">
        <f>IF(N(Q22)&gt;0,Q22*(1+Inputs!$B$8),"")</f>
        <v/>
      </c>
      <c r="AI22" s="19">
        <f>E22*Inputs!$B$9</f>
        <v/>
      </c>
      <c r="AJ22" s="16">
        <f>IF(N(AG22)&gt;0,AI22*AG22,"")</f>
        <v/>
      </c>
      <c r="AK22" s="6">
        <f>MAX(K22*(1-Inputs!$B$10),F22*(1-IF(ISNUMBER(SEARCH("Lev",C22)),Inputs!$B$12,Inputs!$B$11)))</f>
        <v/>
      </c>
      <c r="AL22" s="7">
        <f>IFERROR(V22/AK22-1,"")</f>
        <v/>
      </c>
      <c r="AM22" s="6">
        <f>IF(V22&gt;=F22/(1-Inputs!$B$13),MAX(F22,L22*(1-Inputs!$B$13)),"not green yet")</f>
        <v/>
      </c>
      <c r="AN22" s="5">
        <f>IF(AND(N(Q22)&gt;0,V22&gt;AK22,AG22&gt;V22),(AG22-V22)/(V22-AK22),"")</f>
        <v/>
      </c>
      <c r="AO22" s="4">
        <f>IF(W22&lt;100,"DUST: clean up",IF(V22&lt;AK22,"REVIEW: below support / max loss",IF(AND(N(Q22)&gt;0,V22&gt;=AH22),"SELL 2nd TRIM, trail the rest",IF(AND(N(Q22)&gt;0,V22&gt;=AG22),"TRIM 1/3 + thesis re-check",IF(AA22&gt;IF(ISNUMBER(SEARCH("Lev",C22)),Inputs!$B$15,Inputs!$B$14),"OVERWEIGHT: trim to cap",IF(IF(ISNUMBER(U22),AND(U22&gt;Inputs!$B$5,U22-Inputs!$B$5&lt;=Inputs!$B$16),FALSE),"HOLD: earnings soon",IF(N(Q22)=0,"HOLD: no target","HOLD")))))))</f>
        <v/>
      </c>
      <c r="AP22" s="8">
        <f>IFERROR(INDEX('Rank Calc'!$P$5:$P$53,MATCH($A22,'Rank Calc'!$A$5:$A$53,0)),"")</f>
        <v/>
      </c>
      <c r="AQ22" s="20" t="inlineStr">
        <is>
          <t>Sitting on its 60-day low.</t>
        </is>
      </c>
    </row>
    <row r="23">
      <c r="A23" s="12" t="inlineStr">
        <is>
          <t>QQQI</t>
        </is>
      </c>
      <c r="B23" s="12" t="inlineStr">
        <is>
          <t>NEOS Nasdaq-100 Income</t>
        </is>
      </c>
      <c r="C23" s="12" t="inlineStr">
        <is>
          <t>ETF</t>
        </is>
      </c>
      <c r="D23" s="12" t="inlineStr">
        <is>
          <t>Nasdaq-100 covered call</t>
        </is>
      </c>
      <c r="E23" s="13" t="n">
        <v>0.567476</v>
      </c>
      <c r="F23" s="14" t="n">
        <v>53.83</v>
      </c>
      <c r="G23" s="14" t="n">
        <v>53.42</v>
      </c>
      <c r="H23" s="14" t="n">
        <v>52.61</v>
      </c>
      <c r="I23" s="14" t="n">
        <v>54.72</v>
      </c>
      <c r="J23" s="14" t="n">
        <v>54.18</v>
      </c>
      <c r="K23" s="14" t="n">
        <v>52.36</v>
      </c>
      <c r="L23" s="14" t="n">
        <v>56.84</v>
      </c>
      <c r="M23" s="14" t="n">
        <v>57.84</v>
      </c>
      <c r="N23" s="14" t="n"/>
      <c r="O23" s="14" t="n"/>
      <c r="P23" s="14" t="n"/>
      <c r="Q23" s="14" t="n"/>
      <c r="R23" s="12" t="inlineStr">
        <is>
          <t>n/a</t>
        </is>
      </c>
      <c r="S23" s="12" t="inlineStr">
        <is>
          <t>n/a</t>
        </is>
      </c>
      <c r="T23" s="12" t="inlineStr">
        <is>
          <t>N/A</t>
        </is>
      </c>
      <c r="U23" s="15" t="inlineStr">
        <is>
          <t>n/a</t>
        </is>
      </c>
      <c r="V23" s="6">
        <f>IF(AND(Inputs!$B$6="After-hours",N(H23)&gt;0),H23,G23)</f>
        <v/>
      </c>
      <c r="W23" s="16">
        <f>E23*V23</f>
        <v/>
      </c>
      <c r="X23" s="16">
        <f>E23*F23</f>
        <v/>
      </c>
      <c r="Y23" s="17">
        <f>W23-X23</f>
        <v/>
      </c>
      <c r="Z23" s="7">
        <f>IFERROR(Y23/X23,"")</f>
        <v/>
      </c>
      <c r="AA23" s="18">
        <f>W23/$W$27</f>
        <v/>
      </c>
      <c r="AB23" s="7">
        <f>IFERROR(IF(N(H23)&gt;0,H23/G23-1,""),"")</f>
        <v/>
      </c>
      <c r="AC23" s="7">
        <f>IFERROR(V23/I23-1,"")</f>
        <v/>
      </c>
      <c r="AD23" s="7">
        <f>IFERROR(V23/J23-1,"")</f>
        <v/>
      </c>
      <c r="AE23" s="7">
        <f>IFERROR(V23/M23-1,"")</f>
        <v/>
      </c>
      <c r="AF23" s="7">
        <f>IF(N(Q23)&gt;0,Q23/V23-1,"")</f>
        <v/>
      </c>
      <c r="AG23" s="6">
        <f>IF(N(Q23)&gt;0,Q23*Inputs!$B$7,"")</f>
        <v/>
      </c>
      <c r="AH23" s="6">
        <f>IF(N(Q23)&gt;0,Q23*(1+Inputs!$B$8),"")</f>
        <v/>
      </c>
      <c r="AI23" s="19">
        <f>E23*Inputs!$B$9</f>
        <v/>
      </c>
      <c r="AJ23" s="16">
        <f>IF(N(AG23)&gt;0,AI23*AG23,"")</f>
        <v/>
      </c>
      <c r="AK23" s="6">
        <f>MAX(K23*(1-Inputs!$B$10),F23*(1-IF(ISNUMBER(SEARCH("Lev",C23)),Inputs!$B$12,Inputs!$B$11)))</f>
        <v/>
      </c>
      <c r="AL23" s="7">
        <f>IFERROR(V23/AK23-1,"")</f>
        <v/>
      </c>
      <c r="AM23" s="6">
        <f>IF(V23&gt;=F23/(1-Inputs!$B$13),MAX(F23,L23*(1-Inputs!$B$13)),"not green yet")</f>
        <v/>
      </c>
      <c r="AN23" s="5">
        <f>IF(AND(N(Q23)&gt;0,V23&gt;AK23,AG23&gt;V23),(AG23-V23)/(V23-AK23),"")</f>
        <v/>
      </c>
      <c r="AO23" s="4">
        <f>IF(W23&lt;100,"DUST: clean up",IF(V23&lt;AK23,"REVIEW: below support / max loss",IF(AND(N(Q23)&gt;0,V23&gt;=AH23),"SELL 2nd TRIM, trail the rest",IF(AND(N(Q23)&gt;0,V23&gt;=AG23),"TRIM 1/3 + thesis re-check",IF(AA23&gt;IF(ISNUMBER(SEARCH("Lev",C23)),Inputs!$B$15,Inputs!$B$14),"OVERWEIGHT: trim to cap",IF(IF(ISNUMBER(U23),AND(U23&gt;Inputs!$B$5,U23-Inputs!$B$5&lt;=Inputs!$B$16),FALSE),"HOLD: earnings soon",IF(N(Q23)=0,"HOLD: no target","HOLD")))))))</f>
        <v/>
      </c>
      <c r="AP23" s="8">
        <f>IFERROR(INDEX('Rank Calc'!$P$5:$P$53,MATCH($A23,'Rank Calc'!$A$5:$A$53,0)),"")</f>
        <v/>
      </c>
      <c r="AQ23" s="20" t="inlineStr">
        <is>
          <t>Fractional leftover (~$30).</t>
        </is>
      </c>
    </row>
    <row r="24">
      <c r="A24" s="12" t="inlineStr">
        <is>
          <t>QQQ</t>
        </is>
      </c>
      <c r="B24" s="12" t="inlineStr">
        <is>
          <t>Invesco QQQ</t>
        </is>
      </c>
      <c r="C24" s="12" t="inlineStr">
        <is>
          <t>ETF</t>
        </is>
      </c>
      <c r="D24" s="12" t="inlineStr">
        <is>
          <t>Nasdaq-100</t>
        </is>
      </c>
      <c r="E24" s="13" t="n">
        <v>0.04204</v>
      </c>
      <c r="F24" s="14" t="n">
        <v>713.61</v>
      </c>
      <c r="G24" s="14" t="n">
        <v>715.34</v>
      </c>
      <c r="H24" s="14" t="n">
        <v>702.61</v>
      </c>
      <c r="I24" s="14" t="n">
        <v>725.61</v>
      </c>
      <c r="J24" s="14" t="n">
        <v>679.22</v>
      </c>
      <c r="K24" s="14" t="n">
        <v>700</v>
      </c>
      <c r="L24" s="14" t="n">
        <v>762.86</v>
      </c>
      <c r="M24" s="14" t="n">
        <v>762.86</v>
      </c>
      <c r="N24" s="14" t="n"/>
      <c r="O24" s="14" t="n"/>
      <c r="P24" s="14" t="n"/>
      <c r="Q24" s="14" t="n"/>
      <c r="R24" s="12" t="inlineStr">
        <is>
          <t>n/a</t>
        </is>
      </c>
      <c r="S24" s="12" t="inlineStr">
        <is>
          <t>n/a</t>
        </is>
      </c>
      <c r="T24" s="12" t="inlineStr">
        <is>
          <t>N/A</t>
        </is>
      </c>
      <c r="U24" s="15" t="inlineStr">
        <is>
          <t>n/a</t>
        </is>
      </c>
      <c r="V24" s="6">
        <f>IF(AND(Inputs!$B$6="After-hours",N(H24)&gt;0),H24,G24)</f>
        <v/>
      </c>
      <c r="W24" s="16">
        <f>E24*V24</f>
        <v/>
      </c>
      <c r="X24" s="16">
        <f>E24*F24</f>
        <v/>
      </c>
      <c r="Y24" s="17">
        <f>W24-X24</f>
        <v/>
      </c>
      <c r="Z24" s="7">
        <f>IFERROR(Y24/X24,"")</f>
        <v/>
      </c>
      <c r="AA24" s="18">
        <f>W24/$W$27</f>
        <v/>
      </c>
      <c r="AB24" s="7">
        <f>IFERROR(IF(N(H24)&gt;0,H24/G24-1,""),"")</f>
        <v/>
      </c>
      <c r="AC24" s="7">
        <f>IFERROR(V24/I24-1,"")</f>
        <v/>
      </c>
      <c r="AD24" s="7">
        <f>IFERROR(V24/J24-1,"")</f>
        <v/>
      </c>
      <c r="AE24" s="7">
        <f>IFERROR(V24/M24-1,"")</f>
        <v/>
      </c>
      <c r="AF24" s="7">
        <f>IF(N(Q24)&gt;0,Q24/V24-1,"")</f>
        <v/>
      </c>
      <c r="AG24" s="6">
        <f>IF(N(Q24)&gt;0,Q24*Inputs!$B$7,"")</f>
        <v/>
      </c>
      <c r="AH24" s="6">
        <f>IF(N(Q24)&gt;0,Q24*(1+Inputs!$B$8),"")</f>
        <v/>
      </c>
      <c r="AI24" s="19">
        <f>E24*Inputs!$B$9</f>
        <v/>
      </c>
      <c r="AJ24" s="16">
        <f>IF(N(AG24)&gt;0,AI24*AG24,"")</f>
        <v/>
      </c>
      <c r="AK24" s="6">
        <f>MAX(K24*(1-Inputs!$B$10),F24*(1-IF(ISNUMBER(SEARCH("Lev",C24)),Inputs!$B$12,Inputs!$B$11)))</f>
        <v/>
      </c>
      <c r="AL24" s="7">
        <f>IFERROR(V24/AK24-1,"")</f>
        <v/>
      </c>
      <c r="AM24" s="6">
        <f>IF(V24&gt;=F24/(1-Inputs!$B$13),MAX(F24,L24*(1-Inputs!$B$13)),"not green yet")</f>
        <v/>
      </c>
      <c r="AN24" s="5">
        <f>IF(AND(N(Q24)&gt;0,V24&gt;AK24,AG24&gt;V24),(AG24-V24)/(V24-AK24),"")</f>
        <v/>
      </c>
      <c r="AO24" s="4">
        <f>IF(W24&lt;100,"DUST: clean up",IF(V24&lt;AK24,"REVIEW: below support / max loss",IF(AND(N(Q24)&gt;0,V24&gt;=AH24),"SELL 2nd TRIM, trail the rest",IF(AND(N(Q24)&gt;0,V24&gt;=AG24),"TRIM 1/3 + thesis re-check",IF(AA24&gt;IF(ISNUMBER(SEARCH("Lev",C24)),Inputs!$B$15,Inputs!$B$14),"OVERWEIGHT: trim to cap",IF(IF(ISNUMBER(U24),AND(U24&gt;Inputs!$B$5,U24-Inputs!$B$5&lt;=Inputs!$B$16),FALSE),"HOLD: earnings soon",IF(N(Q24)=0,"HOLD: no target","HOLD")))))))</f>
        <v/>
      </c>
      <c r="AP24" s="8">
        <f>IFERROR(INDEX('Rank Calc'!$P$5:$P$53,MATCH($A24,'Rank Calc'!$A$5:$A$53,0)),"")</f>
        <v/>
      </c>
      <c r="AQ24" s="20" t="inlineStr">
        <is>
          <t>Fractional leftover (~$30).</t>
        </is>
      </c>
    </row>
    <row r="25">
      <c r="A25" s="12" t="inlineStr">
        <is>
          <t>HOOD</t>
        </is>
      </c>
      <c r="B25" s="12" t="inlineStr">
        <is>
          <t>Robinhood Markets</t>
        </is>
      </c>
      <c r="C25" s="12" t="inlineStr">
        <is>
          <t>Stock</t>
        </is>
      </c>
      <c r="D25" s="12" t="inlineStr">
        <is>
          <t>Brokerage</t>
        </is>
      </c>
      <c r="E25" s="13" t="n">
        <v>0.010482</v>
      </c>
      <c r="F25" s="14" t="n">
        <v>90.63</v>
      </c>
      <c r="G25" s="14" t="n">
        <v>91.59</v>
      </c>
      <c r="H25" s="14" t="n">
        <v>87.37</v>
      </c>
      <c r="I25" s="14" t="n">
        <v>108.69</v>
      </c>
      <c r="J25" s="14" t="n">
        <v>92.76000000000001</v>
      </c>
      <c r="K25" s="14" t="n">
        <v>89.15000000000001</v>
      </c>
      <c r="L25" s="14" t="n">
        <v>126.74</v>
      </c>
      <c r="M25" s="14" t="n">
        <v>150.47</v>
      </c>
      <c r="N25" s="14" t="n"/>
      <c r="O25" s="14" t="n">
        <v>133.63</v>
      </c>
      <c r="P25" s="14" t="n">
        <v>145</v>
      </c>
      <c r="Q25" s="14" t="n">
        <v>139.31</v>
      </c>
      <c r="R25" s="12" t="inlineStr">
        <is>
          <t>MED</t>
        </is>
      </c>
      <c r="S25" s="12" t="inlineStr">
        <is>
          <t>n/a</t>
        </is>
      </c>
      <c r="T25" s="12" t="inlineStr">
        <is>
          <t>DISRUPTOR</t>
        </is>
      </c>
      <c r="U25" s="15" t="inlineStr">
        <is>
          <t>n/a</t>
        </is>
      </c>
      <c r="V25" s="6">
        <f>IF(AND(Inputs!$B$6="After-hours",N(H25)&gt;0),H25,G25)</f>
        <v/>
      </c>
      <c r="W25" s="16">
        <f>E25*V25</f>
        <v/>
      </c>
      <c r="X25" s="16">
        <f>E25*F25</f>
        <v/>
      </c>
      <c r="Y25" s="17">
        <f>W25-X25</f>
        <v/>
      </c>
      <c r="Z25" s="7">
        <f>IFERROR(Y25/X25,"")</f>
        <v/>
      </c>
      <c r="AA25" s="18">
        <f>W25/$W$27</f>
        <v/>
      </c>
      <c r="AB25" s="7">
        <f>IFERROR(IF(N(H25)&gt;0,H25/G25-1,""),"")</f>
        <v/>
      </c>
      <c r="AC25" s="7">
        <f>IFERROR(V25/I25-1,"")</f>
        <v/>
      </c>
      <c r="AD25" s="7">
        <f>IFERROR(V25/J25-1,"")</f>
        <v/>
      </c>
      <c r="AE25" s="7">
        <f>IFERROR(V25/M25-1,"")</f>
        <v/>
      </c>
      <c r="AF25" s="7">
        <f>IF(N(Q25)&gt;0,Q25/V25-1,"")</f>
        <v/>
      </c>
      <c r="AG25" s="6">
        <f>IF(N(Q25)&gt;0,Q25*Inputs!$B$7,"")</f>
        <v/>
      </c>
      <c r="AH25" s="6">
        <f>IF(N(Q25)&gt;0,Q25*(1+Inputs!$B$8),"")</f>
        <v/>
      </c>
      <c r="AI25" s="19">
        <f>E25*Inputs!$B$9</f>
        <v/>
      </c>
      <c r="AJ25" s="16">
        <f>IF(N(AG25)&gt;0,AI25*AG25,"")</f>
        <v/>
      </c>
      <c r="AK25" s="6">
        <f>MAX(K25*(1-Inputs!$B$10),F25*(1-IF(ISNUMBER(SEARCH("Lev",C25)),Inputs!$B$12,Inputs!$B$11)))</f>
        <v/>
      </c>
      <c r="AL25" s="7">
        <f>IFERROR(V25/AK25-1,"")</f>
        <v/>
      </c>
      <c r="AM25" s="6">
        <f>IF(V25&gt;=F25/(1-Inputs!$B$13),MAX(F25,L25*(1-Inputs!$B$13)),"not green yet")</f>
        <v/>
      </c>
      <c r="AN25" s="5">
        <f>IF(AND(N(Q25)&gt;0,V25&gt;AK25,AG25&gt;V25),(AG25-V25)/(V25-AK25),"")</f>
        <v/>
      </c>
      <c r="AO25" s="4">
        <f>IF(W25&lt;100,"DUST: clean up",IF(V25&lt;AK25,"REVIEW: below support / max loss",IF(AND(N(Q25)&gt;0,V25&gt;=AH25),"SELL 2nd TRIM, trail the rest",IF(AND(N(Q25)&gt;0,V25&gt;=AG25),"TRIM 1/3 + thesis re-check",IF(AA25&gt;IF(ISNUMBER(SEARCH("Lev",C25)),Inputs!$B$15,Inputs!$B$14),"OVERWEIGHT: trim to cap",IF(IF(ISNUMBER(U25),AND(U25&gt;Inputs!$B$5,U25-Inputs!$B$5&lt;=Inputs!$B$16),FALSE),"HOLD: earnings soon",IF(N(Q25)=0,"HOLD: no target","HOLD")))))))</f>
        <v/>
      </c>
      <c r="AP25" s="8">
        <f>IFERROR(INDEX('Rank Calc'!$P$5:$P$53,MATCH($A25,'Rank Calc'!$A$5:$A$53,0)),"")</f>
        <v/>
      </c>
      <c r="AQ25" s="20" t="inlineStr">
        <is>
          <t>Fractional leftover (&lt;$1).</t>
        </is>
      </c>
    </row>
    <row r="27">
      <c r="A27" s="21" t="inlineStr">
        <is>
          <t>TOTAL</t>
        </is>
      </c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2">
        <f>SUM(W6:W25)</f>
        <v/>
      </c>
      <c r="X27" s="22">
        <f>SUM(X6:X25)</f>
        <v/>
      </c>
      <c r="Y27" s="23">
        <f>SUM(Y6:Y25)</f>
        <v/>
      </c>
      <c r="Z27" s="24">
        <f>Y27/X27</f>
        <v/>
      </c>
      <c r="AA27" s="25">
        <f>SUM(AA6:AA25)</f>
        <v/>
      </c>
      <c r="AB27" s="21" t="n"/>
      <c r="AC27" s="21" t="n"/>
      <c r="AD27" s="21" t="n"/>
      <c r="AE27" s="21" t="n"/>
      <c r="AF27" s="25">
        <f>SUMPRODUCT(--(Q6:Q25&gt;0),E6:E25,Q6:Q25)/SUMPRODUCT(--(Q6:Q25&gt;0),W6:W25)-1</f>
        <v/>
      </c>
      <c r="AG27" s="21" t="n"/>
      <c r="AH27" s="21" t="n"/>
      <c r="AI27" s="21" t="n"/>
      <c r="AJ27" s="22">
        <f>SUM(AJ6:AJ25)</f>
        <v/>
      </c>
      <c r="AK27" s="21" t="n"/>
      <c r="AL27" s="21" t="n"/>
      <c r="AM27" s="21" t="n"/>
      <c r="AN27" s="21" t="n"/>
      <c r="AO27" s="21">
        <f>COUNTIF(AO6:AO25,"REVIEW*")&amp;" review, "&amp;COUNTIF(AO6:AO25,"OVERWEIGHT*")&amp;" overweight, "&amp;COUNTIF(AO6:AO25,"TRIM*")&amp;" trim"</f>
        <v/>
      </c>
      <c r="AP27" s="21" t="n"/>
      <c r="AQ27" s="21" t="n"/>
    </row>
  </sheetData>
  <autoFilter ref="A5:AQ25"/>
  <conditionalFormatting sqref="AO6:AO25">
    <cfRule type="expression" priority="1" dxfId="1">
      <formula>LEFT(AO6,6)="REVIEW"</formula>
    </cfRule>
    <cfRule type="expression" priority="2" dxfId="0">
      <formula>LEFT(AO6,4)="OVER"</formula>
    </cfRule>
    <cfRule type="expression" priority="3" dxfId="2">
      <formula>OR(LEFT(AO6,4)="TRIM",LEFT(AO6,4)="SELL")</formula>
    </cfRule>
  </conditionalFormatting>
  <conditionalFormatting sqref="AB6:AB25">
    <cfRule type="cellIs" priority="4" operator="lessThan" dxfId="1">
      <formula>-0.05</formula>
    </cfRule>
  </conditionalFormatting>
  <conditionalFormatting sqref="AL6:AL25">
    <cfRule type="cellIs" priority="5" operator="between" dxfId="0">
      <formula>0</formula>
      <formula>0.05</formula>
    </cfRule>
  </conditionalFormatting>
  <conditionalFormatting sqref="R6:R25">
    <cfRule type="cellIs" priority="6" operator="equal" dxfId="0">
      <formula>"LOW"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7" customWidth="1" min="4" max="4"/>
    <col width="8" customWidth="1" min="5" max="5"/>
    <col width="8" customWidth="1" min="6" max="6"/>
    <col width="17" customWidth="1" min="7" max="7"/>
    <col width="20" customWidth="1" min="8" max="8"/>
    <col width="12" customWidth="1" min="9" max="9"/>
    <col width="10" customWidth="1" min="10" max="10"/>
    <col width="10" customWidth="1" min="11" max="11"/>
    <col width="10" customWidth="1" min="12" max="12"/>
    <col width="11" customWidth="1" min="13" max="13"/>
    <col width="6" customWidth="1" min="14" max="14"/>
    <col width="6" customWidth="1" min="15" max="15"/>
    <col width="6" customWidth="1" min="16" max="16"/>
    <col width="16" customWidth="1" min="17" max="17"/>
    <col width="11" customWidth="1" min="18" max="18"/>
    <col width="8" customWidth="1" min="19" max="19"/>
    <col width="8" customWidth="1" min="20" max="20"/>
    <col width="10" customWidth="1" min="21" max="21"/>
    <col width="10" customWidth="1" min="22" max="22"/>
    <col width="10" customWidth="1" min="23" max="23"/>
    <col width="9" customWidth="1" min="24" max="24"/>
    <col width="10" customWidth="1" min="25" max="25"/>
    <col width="10" customWidth="1" min="26" max="26"/>
    <col width="9" customWidth="1" min="27" max="27"/>
    <col width="8" customWidth="1" min="28" max="28"/>
    <col width="34" customWidth="1" min="29" max="29"/>
    <col width="6" customWidth="1" min="30" max="30"/>
    <col width="60" customWidth="1" min="31" max="31"/>
  </cols>
  <sheetData>
    <row r="1">
      <c r="A1" s="1" t="inlineStr">
        <is>
          <t>Joint Watchlist - Quality @ 200-day Buy Zone, Re-buy Watch, New Industries</t>
        </is>
      </c>
    </row>
    <row r="2">
      <c r="A2" t="inlineStr">
        <is>
          <t>Ordered by pre-breakout chart setup (most pulled back first). Blue = inputs (10/29 close), green headers = formulas. A status is a prompt to research, never a buy order.</t>
        </is>
      </c>
    </row>
    <row r="4" ht="42" customHeight="1">
      <c r="A4" s="10" t="inlineStr">
        <is>
          <t>Symbol</t>
        </is>
      </c>
      <c r="B4" s="10" t="inlineStr">
        <is>
          <t>Company</t>
        </is>
      </c>
      <c r="C4" s="10" t="inlineStr">
        <is>
          <t>List</t>
        </is>
      </c>
      <c r="D4" s="10" t="inlineStr">
        <is>
          <t>Held?</t>
        </is>
      </c>
      <c r="E4" s="10" t="inlineStr">
        <is>
          <t>Quality Grade</t>
        </is>
      </c>
      <c r="F4" s="10" t="inlineStr">
        <is>
          <t>Quality Rank</t>
        </is>
      </c>
      <c r="G4" s="10" t="inlineStr">
        <is>
          <t>Chart Setup</t>
        </is>
      </c>
      <c r="H4" s="10" t="inlineStr">
        <is>
          <t>Valuation</t>
        </is>
      </c>
      <c r="I4" s="10" t="inlineStr">
        <is>
          <t>Disruption</t>
        </is>
      </c>
      <c r="J4" s="10" t="inlineStr">
        <is>
          <t>Price</t>
        </is>
      </c>
      <c r="K4" s="10" t="inlineStr">
        <is>
          <t>50-day SMA</t>
        </is>
      </c>
      <c r="L4" s="10" t="inlineStr">
        <is>
          <t>200-day SMA</t>
        </is>
      </c>
      <c r="M4" s="10" t="inlineStr">
        <is>
          <t>Analyst Mean Target</t>
        </is>
      </c>
      <c r="N4" s="10" t="inlineStr">
        <is>
          <t># Buy</t>
        </is>
      </c>
      <c r="O4" s="10" t="inlineStr">
        <is>
          <t># Hold</t>
        </is>
      </c>
      <c r="P4" s="10" t="inlineStr">
        <is>
          <t># Sell</t>
        </is>
      </c>
      <c r="Q4" s="10" t="inlineStr">
        <is>
          <t>Next Earnings</t>
        </is>
      </c>
      <c r="R4" s="10" t="inlineStr">
        <is>
          <t>Wash-Sale Clear</t>
        </is>
      </c>
      <c r="S4" s="11" t="inlineStr">
        <is>
          <t>vs 200-day</t>
        </is>
      </c>
      <c r="T4" s="11" t="inlineStr">
        <is>
          <t>vs 50-day</t>
        </is>
      </c>
      <c r="U4" s="11" t="inlineStr">
        <is>
          <t>Buy Zone Low</t>
        </is>
      </c>
      <c r="V4" s="11" t="inlineStr">
        <is>
          <t>Buy Zone High</t>
        </is>
      </c>
      <c r="W4" s="11" t="inlineStr">
        <is>
          <t>BUY TARGET</t>
        </is>
      </c>
      <c r="X4" s="11" t="inlineStr">
        <is>
          <t>Distance to Buy Target</t>
        </is>
      </c>
      <c r="Y4" s="11" t="inlineStr">
        <is>
          <t>Upside: Buy Tgt to Analyst</t>
        </is>
      </c>
      <c r="Z4" s="11" t="inlineStr">
        <is>
          <t>WATCH REVIEW LEVEL</t>
        </is>
      </c>
      <c r="AA4" s="11" t="inlineStr">
        <is>
          <t>Reward : Risk at Buy Tgt</t>
        </is>
      </c>
      <c r="AB4" s="11" t="inlineStr">
        <is>
          <t>% Buy Ratings</t>
        </is>
      </c>
      <c r="AC4" s="11" t="inlineStr">
        <is>
          <t>STATUS</t>
        </is>
      </c>
      <c r="AD4" s="11" t="inlineStr">
        <is>
          <t>RANK</t>
        </is>
      </c>
      <c r="AE4" s="10" t="inlineStr">
        <is>
          <t>Notes</t>
        </is>
      </c>
    </row>
    <row r="5">
      <c r="A5" s="12" t="inlineStr">
        <is>
          <t>AEM</t>
        </is>
      </c>
      <c r="B5" s="12" t="inlineStr">
        <is>
          <t>Agnico Eagle Mines</t>
        </is>
      </c>
      <c r="C5" s="12" t="inlineStr">
        <is>
          <t>Buy Zone</t>
        </is>
      </c>
      <c r="D5" s="12" t="inlineStr"/>
      <c r="E5" s="12" t="inlineStr">
        <is>
          <t>A+</t>
        </is>
      </c>
      <c r="F5" s="26" t="n">
        <v>3</v>
      </c>
      <c r="G5" s="12" t="inlineStr">
        <is>
          <t>86 COILED</t>
        </is>
      </c>
      <c r="H5" s="12" t="inlineStr">
        <is>
          <t>RICH -15% (low)</t>
        </is>
      </c>
      <c r="I5" s="12" t="inlineStr">
        <is>
          <t>STABLE</t>
        </is>
      </c>
      <c r="J5" s="14" t="n">
        <v>175.92</v>
      </c>
      <c r="K5" s="14" t="n">
        <v>193.8</v>
      </c>
      <c r="L5" s="14" t="n">
        <v>189.53</v>
      </c>
      <c r="M5" s="14" t="n">
        <v>225.4</v>
      </c>
      <c r="N5" s="26" t="n">
        <v>19</v>
      </c>
      <c r="O5" s="26" t="n">
        <v>4</v>
      </c>
      <c r="P5" s="26" t="n">
        <v>1</v>
      </c>
      <c r="Q5" s="15" t="inlineStr">
        <is>
          <t>n/a</t>
        </is>
      </c>
      <c r="R5" s="12" t="n"/>
      <c r="S5" s="7">
        <f>J5/L5-1</f>
        <v/>
      </c>
      <c r="T5" s="7">
        <f>J5/K5-1</f>
        <v/>
      </c>
      <c r="U5" s="6">
        <f>L5*(1+Inputs!$B$17)</f>
        <v/>
      </c>
      <c r="V5" s="6">
        <f>L5*(1+Inputs!$B$18)</f>
        <v/>
      </c>
      <c r="W5" s="6">
        <f>L5*(1+Inputs!$B$19)</f>
        <v/>
      </c>
      <c r="X5" s="7">
        <f>J5/W5-1</f>
        <v/>
      </c>
      <c r="Y5" s="7">
        <f>IF(N(M5)&gt;0,M5/W5-1,"")</f>
        <v/>
      </c>
      <c r="Z5" s="6">
        <f>U5</f>
        <v/>
      </c>
      <c r="AA5" s="5">
        <f>IFERROR(IF(N(M5)&gt;W5,(M5-W5)/(W5-Z5),""),"")</f>
        <v/>
      </c>
      <c r="AB5" s="27">
        <f>IFERROR(N5/(N5+O5+P5),"")</f>
        <v/>
      </c>
      <c r="AC5" s="4">
        <f>IF(D5="HELD","HELD: see Holdings sheet",IF(IF(ISNUMBER(R5),Inputs!$B$5&lt;R5,FALSE),"WASH-SALE LOCK until "&amp;TEXT(R5,"m/d"),IF(J5&lt;U5,"BELOW ZONE: wait for 200-day reclaim",IF(J5&gt;V5,"ABOVE ZONE: extended, wait",IF(IF(ISNUMBER(Q5),AND(Q5&gt;Inputs!$B$5,Q5-Inputs!$B$5&lt;=Inputs!$B$16),FALSE),"IN ZONE: earnings soon, wait",IF(N(M5)&lt;=J5,"IN ZONE: analysts see no upside",IF(J5&lt;=W5,"IN ZONE: at/below buy target - research","IN ZONE: research")))))))</f>
        <v/>
      </c>
      <c r="AD5" s="8">
        <f>IFERROR(INDEX('Rank Calc'!$P$5:$P$53,MATCH($A5,'Rank Calc'!$A$5:$A$53,0)),"")</f>
        <v/>
      </c>
      <c r="AE5" s="20" t="inlineStr">
        <is>
          <t>Falling wedge forming; tracks gold.</t>
        </is>
      </c>
    </row>
    <row r="6">
      <c r="A6" s="12" t="inlineStr">
        <is>
          <t>NVDA</t>
        </is>
      </c>
      <c r="B6" s="12" t="inlineStr">
        <is>
          <t>NVIDIA</t>
        </is>
      </c>
      <c r="C6" s="12" t="inlineStr">
        <is>
          <t>Buy Zone</t>
        </is>
      </c>
      <c r="D6" s="12" t="inlineStr"/>
      <c r="E6" s="12" t="inlineStr">
        <is>
          <t>A+</t>
        </is>
      </c>
      <c r="F6" s="26" t="n">
        <v>1</v>
      </c>
      <c r="G6" s="12" t="inlineStr">
        <is>
          <t>71 COILED</t>
        </is>
      </c>
      <c r="H6" s="12" t="inlineStr">
        <is>
          <t>FAIR +7% (med)</t>
        </is>
      </c>
      <c r="I6" s="12" t="inlineStr">
        <is>
          <t>DISRUPTOR</t>
        </is>
      </c>
      <c r="J6" s="14" t="n">
        <v>213.66</v>
      </c>
      <c r="K6" s="14" t="n">
        <v>221.99</v>
      </c>
      <c r="L6" s="14" t="n">
        <v>204.28</v>
      </c>
      <c r="M6" s="14" t="n">
        <v>334.45</v>
      </c>
      <c r="N6" s="26" t="n">
        <v>69</v>
      </c>
      <c r="O6" s="26" t="n">
        <v>2</v>
      </c>
      <c r="P6" s="26" t="n">
        <v>1</v>
      </c>
      <c r="Q6" s="15" t="n">
        <v>46343</v>
      </c>
      <c r="R6" s="12" t="n"/>
      <c r="S6" s="7">
        <f>J6/L6-1</f>
        <v/>
      </c>
      <c r="T6" s="7">
        <f>J6/K6-1</f>
        <v/>
      </c>
      <c r="U6" s="6">
        <f>L6*(1+Inputs!$B$17)</f>
        <v/>
      </c>
      <c r="V6" s="6">
        <f>L6*(1+Inputs!$B$18)</f>
        <v/>
      </c>
      <c r="W6" s="6">
        <f>L6*(1+Inputs!$B$19)</f>
        <v/>
      </c>
      <c r="X6" s="7">
        <f>J6/W6-1</f>
        <v/>
      </c>
      <c r="Y6" s="7">
        <f>IF(N(M6)&gt;0,M6/W6-1,"")</f>
        <v/>
      </c>
      <c r="Z6" s="6">
        <f>U6</f>
        <v/>
      </c>
      <c r="AA6" s="5">
        <f>IFERROR(IF(N(M6)&gt;W6,(M6-W6)/(W6-Z6),""),"")</f>
        <v/>
      </c>
      <c r="AB6" s="27">
        <f>IFERROR(N6/(N6+O6+P6),"")</f>
        <v/>
      </c>
      <c r="AC6" s="4">
        <f>IF(D6="HELD","HELD: see Holdings sheet",IF(IF(ISNUMBER(R6),Inputs!$B$5&lt;R6,FALSE),"WASH-SALE LOCK until "&amp;TEXT(R6,"m/d"),IF(J6&lt;U6,"BELOW ZONE: wait for 200-day reclaim",IF(J6&gt;V6,"ABOVE ZONE: extended, wait",IF(IF(ISNUMBER(Q6),AND(Q6&gt;Inputs!$B$5,Q6-Inputs!$B$5&lt;=Inputs!$B$16),FALSE),"IN ZONE: earnings soon, wait",IF(N(M6)&lt;=J6,"IN ZONE: analysts see no upside",IF(J6&lt;=W6,"IN ZONE: at/below buy target - research","IN ZONE: research")))))))</f>
        <v/>
      </c>
      <c r="AD6" s="8">
        <f>IFERROR(INDEX('Rank Calc'!$P$5:$P$53,MATCH($A6,'Rank Calc'!$A$5:$A$53,0)),"")</f>
        <v/>
      </c>
      <c r="AE6" s="20" t="inlineStr">
        <is>
          <t>#1 on business quality.</t>
        </is>
      </c>
    </row>
    <row r="7">
      <c r="A7" s="12" t="inlineStr">
        <is>
          <t>STX</t>
        </is>
      </c>
      <c r="B7" s="12" t="inlineStr">
        <is>
          <t>Seagate</t>
        </is>
      </c>
      <c r="C7" s="12" t="inlineStr">
        <is>
          <t>Buy Zone</t>
        </is>
      </c>
      <c r="D7" s="12" t="inlineStr"/>
      <c r="E7" s="12" t="inlineStr">
        <is>
          <t>A+</t>
        </is>
      </c>
      <c r="F7" s="26" t="n">
        <v>4</v>
      </c>
      <c r="G7" s="12" t="inlineStr">
        <is>
          <t>71 COILED</t>
        </is>
      </c>
      <c r="H7" s="12" t="inlineStr">
        <is>
          <t>EXPENSIVE -50% (low)</t>
        </is>
      </c>
      <c r="I7" s="12" t="inlineStr">
        <is>
          <t>INNOVATING</t>
        </is>
      </c>
      <c r="J7" s="14" t="n">
        <v>700.47</v>
      </c>
      <c r="K7" s="14" t="n">
        <v>803.15</v>
      </c>
      <c r="L7" s="14" t="n">
        <v>690.92</v>
      </c>
      <c r="M7" s="14" t="n">
        <v>1062.55</v>
      </c>
      <c r="N7" s="26" t="n">
        <v>25</v>
      </c>
      <c r="O7" s="26" t="n">
        <v>5</v>
      </c>
      <c r="P7" s="26" t="n">
        <v>0</v>
      </c>
      <c r="Q7" s="15" t="inlineStr">
        <is>
          <t>n/a</t>
        </is>
      </c>
      <c r="R7" s="12" t="n"/>
      <c r="S7" s="7">
        <f>J7/L7-1</f>
        <v/>
      </c>
      <c r="T7" s="7">
        <f>J7/K7-1</f>
        <v/>
      </c>
      <c r="U7" s="6">
        <f>L7*(1+Inputs!$B$17)</f>
        <v/>
      </c>
      <c r="V7" s="6">
        <f>L7*(1+Inputs!$B$18)</f>
        <v/>
      </c>
      <c r="W7" s="6">
        <f>L7*(1+Inputs!$B$19)</f>
        <v/>
      </c>
      <c r="X7" s="7">
        <f>J7/W7-1</f>
        <v/>
      </c>
      <c r="Y7" s="7">
        <f>IF(N(M7)&gt;0,M7/W7-1,"")</f>
        <v/>
      </c>
      <c r="Z7" s="6">
        <f>U7</f>
        <v/>
      </c>
      <c r="AA7" s="5">
        <f>IFERROR(IF(N(M7)&gt;W7,(M7-W7)/(W7-Z7),""),"")</f>
        <v/>
      </c>
      <c r="AB7" s="27">
        <f>IFERROR(N7/(N7+O7+P7),"")</f>
        <v/>
      </c>
      <c r="AC7" s="4">
        <f>IF(D7="HELD","HELD: see Holdings sheet",IF(IF(ISNUMBER(R7),Inputs!$B$5&lt;R7,FALSE),"WASH-SALE LOCK until "&amp;TEXT(R7,"m/d"),IF(J7&lt;U7,"BELOW ZONE: wait for 200-day reclaim",IF(J7&gt;V7,"ABOVE ZONE: extended, wait",IF(IF(ISNUMBER(Q7),AND(Q7&gt;Inputs!$B$5,Q7-Inputs!$B$5&lt;=Inputs!$B$16),FALSE),"IN ZONE: earnings soon, wait",IF(N(M7)&lt;=J7,"IN ZONE: analysts see no upside",IF(J7&lt;=W7,"IN ZONE: at/below buy target - research","IN ZONE: research")))))))</f>
        <v/>
      </c>
      <c r="AD7" s="8">
        <f>IFERROR(INDEX('Rank Calc'!$P$5:$P$53,MATCH($A7,'Rank Calc'!$A$5:$A$53,0)),"")</f>
        <v/>
      </c>
      <c r="AE7" s="20" t="inlineStr">
        <is>
          <t>Falling wedge forming; -4.1% after hours.</t>
        </is>
      </c>
    </row>
    <row r="8">
      <c r="A8" s="12" t="inlineStr">
        <is>
          <t>SCCO</t>
        </is>
      </c>
      <c r="B8" s="12" t="inlineStr">
        <is>
          <t>Southern Copper</t>
        </is>
      </c>
      <c r="C8" s="12" t="inlineStr">
        <is>
          <t>Buy Zone</t>
        </is>
      </c>
      <c r="D8" s="12" t="inlineStr"/>
      <c r="E8" s="12" t="inlineStr">
        <is>
          <t>A+</t>
        </is>
      </c>
      <c r="F8" s="26" t="n">
        <v>8</v>
      </c>
      <c r="G8" s="12" t="inlineStr">
        <is>
          <t>71 COILED</t>
        </is>
      </c>
      <c r="H8" s="12" t="inlineStr">
        <is>
          <t>EXPENSIVE -38% (high)</t>
        </is>
      </c>
      <c r="I8" s="12" t="inlineStr">
        <is>
          <t>STABLE</t>
        </is>
      </c>
      <c r="J8" s="14" t="n">
        <v>191.75</v>
      </c>
      <c r="K8" s="14" t="n">
        <v>201.33</v>
      </c>
      <c r="L8" s="14" t="n">
        <v>189.09</v>
      </c>
      <c r="M8" s="14" t="n">
        <v>176.66</v>
      </c>
      <c r="N8" s="26" t="n">
        <v>1</v>
      </c>
      <c r="O8" s="26" t="n">
        <v>8</v>
      </c>
      <c r="P8" s="26" t="n">
        <v>10</v>
      </c>
      <c r="Q8" s="15" t="inlineStr">
        <is>
          <t>n/a</t>
        </is>
      </c>
      <c r="R8" s="12" t="n"/>
      <c r="S8" s="7">
        <f>J8/L8-1</f>
        <v/>
      </c>
      <c r="T8" s="7">
        <f>J8/K8-1</f>
        <v/>
      </c>
      <c r="U8" s="6">
        <f>L8*(1+Inputs!$B$17)</f>
        <v/>
      </c>
      <c r="V8" s="6">
        <f>L8*(1+Inputs!$B$18)</f>
        <v/>
      </c>
      <c r="W8" s="6">
        <f>L8*(1+Inputs!$B$19)</f>
        <v/>
      </c>
      <c r="X8" s="7">
        <f>J8/W8-1</f>
        <v/>
      </c>
      <c r="Y8" s="7">
        <f>IF(N(M8)&gt;0,M8/W8-1,"")</f>
        <v/>
      </c>
      <c r="Z8" s="6">
        <f>U8</f>
        <v/>
      </c>
      <c r="AA8" s="5">
        <f>IFERROR(IF(N(M8)&gt;W8,(M8-W8)/(W8-Z8),""),"")</f>
        <v/>
      </c>
      <c r="AB8" s="27">
        <f>IFERROR(N8/(N8+O8+P8),"")</f>
        <v/>
      </c>
      <c r="AC8" s="4">
        <f>IF(D8="HELD","HELD: see Holdings sheet",IF(IF(ISNUMBER(R8),Inputs!$B$5&lt;R8,FALSE),"WASH-SALE LOCK until "&amp;TEXT(R8,"m/d"),IF(J8&lt;U8,"BELOW ZONE: wait for 200-day reclaim",IF(J8&gt;V8,"ABOVE ZONE: extended, wait",IF(IF(ISNUMBER(Q8),AND(Q8&gt;Inputs!$B$5,Q8-Inputs!$B$5&lt;=Inputs!$B$16),FALSE),"IN ZONE: earnings soon, wait",IF(N(M8)&lt;=J8,"IN ZONE: analysts see no upside",IF(J8&lt;=W8,"IN ZONE: at/below buy target - research","IN ZONE: research")))))))</f>
        <v/>
      </c>
      <c r="AD8" s="8">
        <f>IFERROR(INDEX('Rank Calc'!$P$5:$P$53,MATCH($A8,'Rank Calc'!$A$5:$A$53,0)),"")</f>
        <v/>
      </c>
      <c r="AE8" s="20" t="inlineStr">
        <is>
          <t>Analyst mean target is BELOW price; 10 Sells.</t>
        </is>
      </c>
    </row>
    <row r="9">
      <c r="A9" s="12" t="inlineStr">
        <is>
          <t>FNV</t>
        </is>
      </c>
      <c r="B9" s="12" t="inlineStr">
        <is>
          <t>Franco-Nevada</t>
        </is>
      </c>
      <c r="C9" s="12" t="inlineStr">
        <is>
          <t>Buy Zone</t>
        </is>
      </c>
      <c r="D9" s="12" t="inlineStr"/>
      <c r="E9" s="12" t="inlineStr">
        <is>
          <t>A</t>
        </is>
      </c>
      <c r="F9" s="26" t="n">
        <v>11</v>
      </c>
      <c r="G9" s="12" t="inlineStr">
        <is>
          <t>71 COILED</t>
        </is>
      </c>
      <c r="H9" s="12" t="inlineStr">
        <is>
          <t>FAIR +1% (med)</t>
        </is>
      </c>
      <c r="I9" s="12" t="inlineStr">
        <is>
          <t>STABLE</t>
        </is>
      </c>
      <c r="J9" s="14" t="n">
        <v>231.6</v>
      </c>
      <c r="K9" s="14" t="n">
        <v>252.44</v>
      </c>
      <c r="L9" s="14" t="n">
        <v>240.07</v>
      </c>
      <c r="M9" s="14" t="n">
        <v>287.68</v>
      </c>
      <c r="N9" s="26" t="n">
        <v>7</v>
      </c>
      <c r="O9" s="26" t="n">
        <v>3</v>
      </c>
      <c r="P9" s="26" t="n">
        <v>1</v>
      </c>
      <c r="Q9" s="15" t="n">
        <v>46337</v>
      </c>
      <c r="R9" s="12" t="n"/>
      <c r="S9" s="7">
        <f>J9/L9-1</f>
        <v/>
      </c>
      <c r="T9" s="7">
        <f>J9/K9-1</f>
        <v/>
      </c>
      <c r="U9" s="6">
        <f>L9*(1+Inputs!$B$17)</f>
        <v/>
      </c>
      <c r="V9" s="6">
        <f>L9*(1+Inputs!$B$18)</f>
        <v/>
      </c>
      <c r="W9" s="6">
        <f>L9*(1+Inputs!$B$19)</f>
        <v/>
      </c>
      <c r="X9" s="7">
        <f>J9/W9-1</f>
        <v/>
      </c>
      <c r="Y9" s="7">
        <f>IF(N(M9)&gt;0,M9/W9-1,"")</f>
        <v/>
      </c>
      <c r="Z9" s="6">
        <f>U9</f>
        <v/>
      </c>
      <c r="AA9" s="5">
        <f>IFERROR(IF(N(M9)&gt;W9,(M9-W9)/(W9-Z9),""),"")</f>
        <v/>
      </c>
      <c r="AB9" s="27">
        <f>IFERROR(N9/(N9+O9+P9),"")</f>
        <v/>
      </c>
      <c r="AC9" s="4">
        <f>IF(D9="HELD","HELD: see Holdings sheet",IF(IF(ISNUMBER(R9),Inputs!$B$5&lt;R9,FALSE),"WASH-SALE LOCK until "&amp;TEXT(R9,"m/d"),IF(J9&lt;U9,"BELOW ZONE: wait for 200-day reclaim",IF(J9&gt;V9,"ABOVE ZONE: extended, wait",IF(IF(ISNUMBER(Q9),AND(Q9&gt;Inputs!$B$5,Q9-Inputs!$B$5&lt;=Inputs!$B$16),FALSE),"IN ZONE: earnings soon, wait",IF(N(M9)&lt;=J9,"IN ZONE: analysts see no upside",IF(J9&lt;=W9,"IN ZONE: at/below buy target - research","IN ZONE: research")))))))</f>
        <v/>
      </c>
      <c r="AD9" s="8">
        <f>IFERROR(INDEX('Rank Calc'!$P$5:$P$53,MATCH($A9,'Rank Calc'!$A$5:$A$53,0)),"")</f>
        <v/>
      </c>
      <c r="AE9" s="20" t="inlineStr">
        <is>
          <t>Gold royalty.</t>
        </is>
      </c>
    </row>
    <row r="10">
      <c r="A10" s="12" t="inlineStr">
        <is>
          <t>AVGO</t>
        </is>
      </c>
      <c r="B10" s="12" t="inlineStr">
        <is>
          <t>Broadcom</t>
        </is>
      </c>
      <c r="C10" s="12" t="inlineStr">
        <is>
          <t>Buy Zone</t>
        </is>
      </c>
      <c r="D10" s="12" t="inlineStr"/>
      <c r="E10" s="12" t="inlineStr">
        <is>
          <t>A+</t>
        </is>
      </c>
      <c r="F10" s="26" t="n">
        <v>7</v>
      </c>
      <c r="G10" s="12" t="inlineStr">
        <is>
          <t>57 PULLING BACK</t>
        </is>
      </c>
      <c r="H10" s="12" t="inlineStr">
        <is>
          <t>EXPENSIVE -49% (med)</t>
        </is>
      </c>
      <c r="I10" s="12" t="inlineStr">
        <is>
          <t>DISRUPTOR</t>
        </is>
      </c>
      <c r="J10" s="14" t="n">
        <v>345</v>
      </c>
      <c r="K10" s="14" t="n">
        <v>353.7</v>
      </c>
      <c r="L10" s="14" t="n">
        <v>367.78</v>
      </c>
      <c r="M10" s="14" t="n">
        <v>532.3099999999999</v>
      </c>
      <c r="N10" s="26" t="n">
        <v>53</v>
      </c>
      <c r="O10" s="26" t="n">
        <v>2</v>
      </c>
      <c r="P10" s="26" t="n">
        <v>0</v>
      </c>
      <c r="Q10" s="15" t="n">
        <v>46365</v>
      </c>
      <c r="R10" s="15" t="n">
        <v>46348</v>
      </c>
      <c r="S10" s="7">
        <f>J10/L10-1</f>
        <v/>
      </c>
      <c r="T10" s="7">
        <f>J10/K10-1</f>
        <v/>
      </c>
      <c r="U10" s="6">
        <f>L10*(1+Inputs!$B$17)</f>
        <v/>
      </c>
      <c r="V10" s="6">
        <f>L10*(1+Inputs!$B$18)</f>
        <v/>
      </c>
      <c r="W10" s="6">
        <f>L10*(1+Inputs!$B$19)</f>
        <v/>
      </c>
      <c r="X10" s="7">
        <f>J10/W10-1</f>
        <v/>
      </c>
      <c r="Y10" s="7">
        <f>IF(N(M10)&gt;0,M10/W10-1,"")</f>
        <v/>
      </c>
      <c r="Z10" s="6">
        <f>U10</f>
        <v/>
      </c>
      <c r="AA10" s="5">
        <f>IFERROR(IF(N(M10)&gt;W10,(M10-W10)/(W10-Z10),""),"")</f>
        <v/>
      </c>
      <c r="AB10" s="27">
        <f>IFERROR(N10/(N10+O10+P10),"")</f>
        <v/>
      </c>
      <c r="AC10" s="4">
        <f>IF(D10="HELD","HELD: see Holdings sheet",IF(IF(ISNUMBER(R10),Inputs!$B$5&lt;R10,FALSE),"WASH-SALE LOCK until "&amp;TEXT(R10,"m/d"),IF(J10&lt;U10,"BELOW ZONE: wait for 200-day reclaim",IF(J10&gt;V10,"ABOVE ZONE: extended, wait",IF(IF(ISNUMBER(Q10),AND(Q10&gt;Inputs!$B$5,Q10-Inputs!$B$5&lt;=Inputs!$B$16),FALSE),"IN ZONE: earnings soon, wait",IF(N(M10)&lt;=J10,"IN ZONE: analysts see no upside",IF(J10&lt;=W10,"IN ZONE: at/below buy target - research","IN ZONE: research")))))))</f>
        <v/>
      </c>
      <c r="AD10" s="8">
        <f>IFERROR(INDEX('Rank Calc'!$P$5:$P$53,MATCH($A10,'Rank Calc'!$A$5:$A$53,0)),"")</f>
        <v/>
      </c>
      <c r="AE10" s="20" t="inlineStr">
        <is>
          <t>Falling wedge forming; thesis intact 9/30. -3.7% after hours.</t>
        </is>
      </c>
    </row>
    <row r="11">
      <c r="A11" s="12" t="inlineStr">
        <is>
          <t>HOOD</t>
        </is>
      </c>
      <c r="B11" s="12" t="inlineStr">
        <is>
          <t>Robinhood Markets</t>
        </is>
      </c>
      <c r="C11" s="12" t="inlineStr">
        <is>
          <t>Buy Zone</t>
        </is>
      </c>
      <c r="D11" s="12" t="inlineStr">
        <is>
          <t>HELD</t>
        </is>
      </c>
      <c r="E11" s="12" t="inlineStr">
        <is>
          <t>A</t>
        </is>
      </c>
      <c r="F11" s="26" t="n">
        <v>14</v>
      </c>
      <c r="G11" s="12" t="inlineStr">
        <is>
          <t>57 PULLING BACK</t>
        </is>
      </c>
      <c r="H11" s="12" t="inlineStr">
        <is>
          <t>n/a</t>
        </is>
      </c>
      <c r="I11" s="12" t="inlineStr">
        <is>
          <t>DISRUPTOR</t>
        </is>
      </c>
      <c r="J11" s="14" t="n">
        <v>91.59</v>
      </c>
      <c r="K11" s="14" t="n">
        <v>108.69</v>
      </c>
      <c r="L11" s="14" t="n">
        <v>92.76000000000001</v>
      </c>
      <c r="M11" s="14" t="n">
        <v>133.63</v>
      </c>
      <c r="N11" s="26" t="n">
        <v>30</v>
      </c>
      <c r="O11" s="26" t="n">
        <v>5</v>
      </c>
      <c r="P11" s="26" t="n">
        <v>2</v>
      </c>
      <c r="Q11" s="15" t="inlineStr">
        <is>
          <t>n/a</t>
        </is>
      </c>
      <c r="R11" s="15" t="n">
        <v>46354</v>
      </c>
      <c r="S11" s="7">
        <f>J11/L11-1</f>
        <v/>
      </c>
      <c r="T11" s="7">
        <f>J11/K11-1</f>
        <v/>
      </c>
      <c r="U11" s="6">
        <f>L11*(1+Inputs!$B$17)</f>
        <v/>
      </c>
      <c r="V11" s="6">
        <f>L11*(1+Inputs!$B$18)</f>
        <v/>
      </c>
      <c r="W11" s="6">
        <f>L11*(1+Inputs!$B$19)</f>
        <v/>
      </c>
      <c r="X11" s="7">
        <f>J11/W11-1</f>
        <v/>
      </c>
      <c r="Y11" s="7">
        <f>IF(N(M11)&gt;0,M11/W11-1,"")</f>
        <v/>
      </c>
      <c r="Z11" s="6">
        <f>U11</f>
        <v/>
      </c>
      <c r="AA11" s="5">
        <f>IFERROR(IF(N(M11)&gt;W11,(M11-W11)/(W11-Z11),""),"")</f>
        <v/>
      </c>
      <c r="AB11" s="27">
        <f>IFERROR(N11/(N11+O11+P11),"")</f>
        <v/>
      </c>
      <c r="AC11" s="4">
        <f>IF(D11="HELD","HELD: see Holdings sheet",IF(IF(ISNUMBER(R11),Inputs!$B$5&lt;R11,FALSE),"WASH-SALE LOCK until "&amp;TEXT(R11,"m/d"),IF(J11&lt;U11,"BELOW ZONE: wait for 200-day reclaim",IF(J11&gt;V11,"ABOVE ZONE: extended, wait",IF(IF(ISNUMBER(Q11),AND(Q11&gt;Inputs!$B$5,Q11-Inputs!$B$5&lt;=Inputs!$B$16),FALSE),"IN ZONE: earnings soon, wait",IF(N(M11)&lt;=J11,"IN ZONE: analysts see no upside",IF(J11&lt;=W11,"IN ZONE: at/below buy target - research","IN ZONE: research")))))))</f>
        <v/>
      </c>
      <c r="AD11" s="8">
        <f>IFERROR(INDEX('Rank Calc'!$P$5:$P$53,MATCH($A11,'Rank Calc'!$A$5:$A$53,0)),"")</f>
        <v/>
      </c>
      <c r="AE11" s="20" t="inlineStr">
        <is>
          <t>Fractional leftover (&lt;$1).</t>
        </is>
      </c>
    </row>
    <row r="12">
      <c r="A12" s="12" t="inlineStr">
        <is>
          <t>NEM</t>
        </is>
      </c>
      <c r="B12" s="12" t="inlineStr">
        <is>
          <t>Newmont</t>
        </is>
      </c>
      <c r="C12" s="12" t="inlineStr">
        <is>
          <t>Buy Zone</t>
        </is>
      </c>
      <c r="D12" s="12" t="inlineStr"/>
      <c r="E12" s="12" t="inlineStr">
        <is>
          <t>A</t>
        </is>
      </c>
      <c r="F12" s="26" t="n">
        <v>15</v>
      </c>
      <c r="G12" s="12" t="inlineStr">
        <is>
          <t>57 PULLING BACK</t>
        </is>
      </c>
      <c r="H12" s="12" t="inlineStr">
        <is>
          <t>RICH -25% (low)</t>
        </is>
      </c>
      <c r="I12" s="12" t="inlineStr">
        <is>
          <t>STABLE</t>
        </is>
      </c>
      <c r="J12" s="14" t="n">
        <v>111.8</v>
      </c>
      <c r="K12" s="14" t="n">
        <v>121.1</v>
      </c>
      <c r="L12" s="14" t="n">
        <v>112.49</v>
      </c>
      <c r="M12" s="14" t="n">
        <v>137.61</v>
      </c>
      <c r="N12" s="26" t="n">
        <v>24</v>
      </c>
      <c r="O12" s="26" t="n">
        <v>4</v>
      </c>
      <c r="P12" s="26" t="n">
        <v>2</v>
      </c>
      <c r="Q12" s="15" t="inlineStr">
        <is>
          <t>n/a</t>
        </is>
      </c>
      <c r="R12" s="12" t="n"/>
      <c r="S12" s="7">
        <f>J12/L12-1</f>
        <v/>
      </c>
      <c r="T12" s="7">
        <f>J12/K12-1</f>
        <v/>
      </c>
      <c r="U12" s="6">
        <f>L12*(1+Inputs!$B$17)</f>
        <v/>
      </c>
      <c r="V12" s="6">
        <f>L12*(1+Inputs!$B$18)</f>
        <v/>
      </c>
      <c r="W12" s="6">
        <f>L12*(1+Inputs!$B$19)</f>
        <v/>
      </c>
      <c r="X12" s="7">
        <f>J12/W12-1</f>
        <v/>
      </c>
      <c r="Y12" s="7">
        <f>IF(N(M12)&gt;0,M12/W12-1,"")</f>
        <v/>
      </c>
      <c r="Z12" s="6">
        <f>U12</f>
        <v/>
      </c>
      <c r="AA12" s="5">
        <f>IFERROR(IF(N(M12)&gt;W12,(M12-W12)/(W12-Z12),""),"")</f>
        <v/>
      </c>
      <c r="AB12" s="27">
        <f>IFERROR(N12/(N12+O12+P12),"")</f>
        <v/>
      </c>
      <c r="AC12" s="4">
        <f>IF(D12="HELD","HELD: see Holdings sheet",IF(IF(ISNUMBER(R12),Inputs!$B$5&lt;R12,FALSE),"WASH-SALE LOCK until "&amp;TEXT(R12,"m/d"),IF(J12&lt;U12,"BELOW ZONE: wait for 200-day reclaim",IF(J12&gt;V12,"ABOVE ZONE: extended, wait",IF(IF(ISNUMBER(Q12),AND(Q12&gt;Inputs!$B$5,Q12-Inputs!$B$5&lt;=Inputs!$B$16),FALSE),"IN ZONE: earnings soon, wait",IF(N(M12)&lt;=J12,"IN ZONE: analysts see no upside",IF(J12&lt;=W12,"IN ZONE: at/below buy target - research","IN ZONE: research")))))))</f>
        <v/>
      </c>
      <c r="AD12" s="8">
        <f>IFERROR(INDEX('Rank Calc'!$P$5:$P$53,MATCH($A12,'Rank Calc'!$A$5:$A$53,0)),"")</f>
        <v/>
      </c>
      <c r="AE12" s="20" t="inlineStr"/>
    </row>
    <row r="13">
      <c r="A13" s="12" t="inlineStr">
        <is>
          <t>ASML</t>
        </is>
      </c>
      <c r="B13" s="12" t="inlineStr">
        <is>
          <t>ASML Holding</t>
        </is>
      </c>
      <c r="C13" s="12" t="inlineStr">
        <is>
          <t>Buy Zone</t>
        </is>
      </c>
      <c r="D13" s="12" t="inlineStr"/>
      <c r="E13" s="12" t="inlineStr">
        <is>
          <t>A+</t>
        </is>
      </c>
      <c r="F13" s="26" t="n">
        <v>9</v>
      </c>
      <c r="G13" s="12" t="inlineStr">
        <is>
          <t>43 PULLING BACK</t>
        </is>
      </c>
      <c r="H13" s="12" t="inlineStr">
        <is>
          <t>EXPENSIVE -34% (med)</t>
        </is>
      </c>
      <c r="I13" s="12" t="inlineStr">
        <is>
          <t>INNOVATING</t>
        </is>
      </c>
      <c r="J13" s="14" t="n">
        <v>1675.7</v>
      </c>
      <c r="K13" s="14" t="n">
        <v>1708.14</v>
      </c>
      <c r="L13" s="14" t="n">
        <v>1595.65</v>
      </c>
      <c r="M13" s="14" t="n">
        <v>2408.5</v>
      </c>
      <c r="N13" s="26" t="n">
        <v>37</v>
      </c>
      <c r="O13" s="26" t="n">
        <v>4</v>
      </c>
      <c r="P13" s="26" t="n">
        <v>2</v>
      </c>
      <c r="Q13" s="15" t="n">
        <v>46414</v>
      </c>
      <c r="R13" s="12" t="n"/>
      <c r="S13" s="7">
        <f>J13/L13-1</f>
        <v/>
      </c>
      <c r="T13" s="7">
        <f>J13/K13-1</f>
        <v/>
      </c>
      <c r="U13" s="6">
        <f>L13*(1+Inputs!$B$17)</f>
        <v/>
      </c>
      <c r="V13" s="6">
        <f>L13*(1+Inputs!$B$18)</f>
        <v/>
      </c>
      <c r="W13" s="6">
        <f>L13*(1+Inputs!$B$19)</f>
        <v/>
      </c>
      <c r="X13" s="7">
        <f>J13/W13-1</f>
        <v/>
      </c>
      <c r="Y13" s="7">
        <f>IF(N(M13)&gt;0,M13/W13-1,"")</f>
        <v/>
      </c>
      <c r="Z13" s="6">
        <f>U13</f>
        <v/>
      </c>
      <c r="AA13" s="5">
        <f>IFERROR(IF(N(M13)&gt;W13,(M13-W13)/(W13-Z13),""),"")</f>
        <v/>
      </c>
      <c r="AB13" s="27">
        <f>IFERROR(N13/(N13+O13+P13),"")</f>
        <v/>
      </c>
      <c r="AC13" s="4">
        <f>IF(D13="HELD","HELD: see Holdings sheet",IF(IF(ISNUMBER(R13),Inputs!$B$5&lt;R13,FALSE),"WASH-SALE LOCK until "&amp;TEXT(R13,"m/d"),IF(J13&lt;U13,"BELOW ZONE: wait for 200-day reclaim",IF(J13&gt;V13,"ABOVE ZONE: extended, wait",IF(IF(ISNUMBER(Q13),AND(Q13&gt;Inputs!$B$5,Q13-Inputs!$B$5&lt;=Inputs!$B$16),FALSE),"IN ZONE: earnings soon, wait",IF(N(M13)&lt;=J13,"IN ZONE: analysts see no upside",IF(J13&lt;=W13,"IN ZONE: at/below buy target - research","IN ZONE: research")))))))</f>
        <v/>
      </c>
      <c r="AD13" s="8">
        <f>IFERROR(INDEX('Rank Calc'!$P$5:$P$53,MATCH($A13,'Rank Calc'!$A$5:$A$53,0)),"")</f>
        <v/>
      </c>
      <c r="AE13" s="20" t="inlineStr">
        <is>
          <t>Double bottom forming; -3.6% after hours.</t>
        </is>
      </c>
    </row>
    <row r="14">
      <c r="A14" s="12" t="inlineStr">
        <is>
          <t>AMAT</t>
        </is>
      </c>
      <c r="B14" s="12" t="inlineStr">
        <is>
          <t>Applied Materials</t>
        </is>
      </c>
      <c r="C14" s="12" t="inlineStr">
        <is>
          <t>Buy Zone</t>
        </is>
      </c>
      <c r="D14" s="12" t="inlineStr"/>
      <c r="E14" s="12" t="inlineStr">
        <is>
          <t>A</t>
        </is>
      </c>
      <c r="F14" s="26" t="n">
        <v>17</v>
      </c>
      <c r="G14" s="12" t="inlineStr">
        <is>
          <t>43 PULLING BACK</t>
        </is>
      </c>
      <c r="H14" s="12" t="inlineStr">
        <is>
          <t>EXPENSIVE -50% (med)</t>
        </is>
      </c>
      <c r="I14" s="12" t="inlineStr">
        <is>
          <t>INNOVATING</t>
        </is>
      </c>
      <c r="J14" s="14" t="n">
        <v>421.66</v>
      </c>
      <c r="K14" s="14" t="n">
        <v>459.67</v>
      </c>
      <c r="L14" s="14" t="n">
        <v>444.04</v>
      </c>
      <c r="M14" s="14" t="n">
        <v>651.64</v>
      </c>
      <c r="N14" s="26" t="n">
        <v>35</v>
      </c>
      <c r="O14" s="26" t="n">
        <v>5</v>
      </c>
      <c r="P14" s="26" t="n">
        <v>0</v>
      </c>
      <c r="Q14" s="15" t="n">
        <v>46338</v>
      </c>
      <c r="R14" s="12" t="n"/>
      <c r="S14" s="7">
        <f>J14/L14-1</f>
        <v/>
      </c>
      <c r="T14" s="7">
        <f>J14/K14-1</f>
        <v/>
      </c>
      <c r="U14" s="6">
        <f>L14*(1+Inputs!$B$17)</f>
        <v/>
      </c>
      <c r="V14" s="6">
        <f>L14*(1+Inputs!$B$18)</f>
        <v/>
      </c>
      <c r="W14" s="6">
        <f>L14*(1+Inputs!$B$19)</f>
        <v/>
      </c>
      <c r="X14" s="7">
        <f>J14/W14-1</f>
        <v/>
      </c>
      <c r="Y14" s="7">
        <f>IF(N(M14)&gt;0,M14/W14-1,"")</f>
        <v/>
      </c>
      <c r="Z14" s="6">
        <f>U14</f>
        <v/>
      </c>
      <c r="AA14" s="5">
        <f>IFERROR(IF(N(M14)&gt;W14,(M14-W14)/(W14-Z14),""),"")</f>
        <v/>
      </c>
      <c r="AB14" s="27">
        <f>IFERROR(N14/(N14+O14+P14),"")</f>
        <v/>
      </c>
      <c r="AC14" s="4">
        <f>IF(D14="HELD","HELD: see Holdings sheet",IF(IF(ISNUMBER(R14),Inputs!$B$5&lt;R14,FALSE),"WASH-SALE LOCK until "&amp;TEXT(R14,"m/d"),IF(J14&lt;U14,"BELOW ZONE: wait for 200-day reclaim",IF(J14&gt;V14,"ABOVE ZONE: extended, wait",IF(IF(ISNUMBER(Q14),AND(Q14&gt;Inputs!$B$5,Q14-Inputs!$B$5&lt;=Inputs!$B$16),FALSE),"IN ZONE: earnings soon, wait",IF(N(M14)&lt;=J14,"IN ZONE: analysts see no upside",IF(J14&lt;=W14,"IN ZONE: at/below buy target - research","IN ZONE: research")))))))</f>
        <v/>
      </c>
      <c r="AD14" s="8">
        <f>IFERROR(INDEX('Rank Calc'!$P$5:$P$53,MATCH($A14,'Rank Calc'!$A$5:$A$53,0)),"")</f>
        <v/>
      </c>
      <c r="AE14" s="20" t="inlineStr">
        <is>
          <t>-4.5% after hours.</t>
        </is>
      </c>
    </row>
    <row r="15">
      <c r="A15" s="12" t="inlineStr">
        <is>
          <t>KEYS</t>
        </is>
      </c>
      <c r="B15" s="12" t="inlineStr">
        <is>
          <t>Keysight</t>
        </is>
      </c>
      <c r="C15" s="12" t="inlineStr">
        <is>
          <t>Buy Zone</t>
        </is>
      </c>
      <c r="D15" s="12" t="inlineStr"/>
      <c r="E15" s="12" t="inlineStr">
        <is>
          <t>A</t>
        </is>
      </c>
      <c r="F15" s="26" t="n">
        <v>23</v>
      </c>
      <c r="G15" s="12" t="inlineStr">
        <is>
          <t>43 PULLING BACK</t>
        </is>
      </c>
      <c r="H15" s="12" t="inlineStr">
        <is>
          <t>EXPENSIVE -36% (med)</t>
        </is>
      </c>
      <c r="I15" s="12" t="inlineStr">
        <is>
          <t>AT RISK</t>
        </is>
      </c>
      <c r="J15" s="14" t="n">
        <v>329.84</v>
      </c>
      <c r="K15" s="14" t="n">
        <v>341.12</v>
      </c>
      <c r="L15" s="14" t="n">
        <v>316.26</v>
      </c>
      <c r="M15" s="14" t="n">
        <v>424.18</v>
      </c>
      <c r="N15" s="26" t="n">
        <v>13</v>
      </c>
      <c r="O15" s="26" t="n">
        <v>2</v>
      </c>
      <c r="P15" s="26" t="n">
        <v>0</v>
      </c>
      <c r="Q15" s="15" t="n">
        <v>46345</v>
      </c>
      <c r="R15" s="12" t="n"/>
      <c r="S15" s="7">
        <f>J15/L15-1</f>
        <v/>
      </c>
      <c r="T15" s="7">
        <f>J15/K15-1</f>
        <v/>
      </c>
      <c r="U15" s="6">
        <f>L15*(1+Inputs!$B$17)</f>
        <v/>
      </c>
      <c r="V15" s="6">
        <f>L15*(1+Inputs!$B$18)</f>
        <v/>
      </c>
      <c r="W15" s="6">
        <f>L15*(1+Inputs!$B$19)</f>
        <v/>
      </c>
      <c r="X15" s="7">
        <f>J15/W15-1</f>
        <v/>
      </c>
      <c r="Y15" s="7">
        <f>IF(N(M15)&gt;0,M15/W15-1,"")</f>
        <v/>
      </c>
      <c r="Z15" s="6">
        <f>U15</f>
        <v/>
      </c>
      <c r="AA15" s="5">
        <f>IFERROR(IF(N(M15)&gt;W15,(M15-W15)/(W15-Z15),""),"")</f>
        <v/>
      </c>
      <c r="AB15" s="27">
        <f>IFERROR(N15/(N15+O15+P15),"")</f>
        <v/>
      </c>
      <c r="AC15" s="4">
        <f>IF(D15="HELD","HELD: see Holdings sheet",IF(IF(ISNUMBER(R15),Inputs!$B$5&lt;R15,FALSE),"WASH-SALE LOCK until "&amp;TEXT(R15,"m/d"),IF(J15&lt;U15,"BELOW ZONE: wait for 200-day reclaim",IF(J15&gt;V15,"ABOVE ZONE: extended, wait",IF(IF(ISNUMBER(Q15),AND(Q15&gt;Inputs!$B$5,Q15-Inputs!$B$5&lt;=Inputs!$B$16),FALSE),"IN ZONE: earnings soon, wait",IF(N(M15)&lt;=J15,"IN ZONE: analysts see no upside",IF(J15&lt;=W15,"IN ZONE: at/below buy target - research","IN ZONE: research")))))))</f>
        <v/>
      </c>
      <c r="AD15" s="8">
        <f>IFERROR(INDEX('Rank Calc'!$P$5:$P$53,MATCH($A15,'Rank Calc'!$A$5:$A$53,0)),"")</f>
        <v/>
      </c>
      <c r="AE15" s="20" t="inlineStr"/>
    </row>
    <row r="16">
      <c r="A16" s="12" t="inlineStr">
        <is>
          <t>META</t>
        </is>
      </c>
      <c r="B16" s="12" t="inlineStr">
        <is>
          <t>Meta Platforms</t>
        </is>
      </c>
      <c r="C16" s="12" t="inlineStr">
        <is>
          <t>Buy Zone</t>
        </is>
      </c>
      <c r="D16" s="12" t="inlineStr">
        <is>
          <t>HELD</t>
        </is>
      </c>
      <c r="E16" s="12" t="inlineStr">
        <is>
          <t>A+</t>
        </is>
      </c>
      <c r="F16" s="26" t="n">
        <v>5</v>
      </c>
      <c r="G16" s="12" t="inlineStr">
        <is>
          <t>29 MIXED</t>
        </is>
      </c>
      <c r="H16" s="12" t="inlineStr">
        <is>
          <t>FAIR -2% (med)</t>
        </is>
      </c>
      <c r="I16" s="12" t="inlineStr">
        <is>
          <t>INNOVATING</t>
        </is>
      </c>
      <c r="J16" s="14" t="n">
        <v>624.52</v>
      </c>
      <c r="K16" s="14" t="n">
        <v>668.6</v>
      </c>
      <c r="L16" s="14" t="n">
        <v>632.11</v>
      </c>
      <c r="M16" s="14" t="n">
        <v>850.51</v>
      </c>
      <c r="N16" s="26" t="n">
        <v>65</v>
      </c>
      <c r="O16" s="26" t="n">
        <v>6</v>
      </c>
      <c r="P16" s="26" t="n">
        <v>1</v>
      </c>
      <c r="Q16" s="15" t="inlineStr">
        <is>
          <t>n/a</t>
        </is>
      </c>
      <c r="R16" s="15" t="n">
        <v>46354</v>
      </c>
      <c r="S16" s="7">
        <f>J16/L16-1</f>
        <v/>
      </c>
      <c r="T16" s="7">
        <f>J16/K16-1</f>
        <v/>
      </c>
      <c r="U16" s="6">
        <f>L16*(1+Inputs!$B$17)</f>
        <v/>
      </c>
      <c r="V16" s="6">
        <f>L16*(1+Inputs!$B$18)</f>
        <v/>
      </c>
      <c r="W16" s="6">
        <f>L16*(1+Inputs!$B$19)</f>
        <v/>
      </c>
      <c r="X16" s="7">
        <f>J16/W16-1</f>
        <v/>
      </c>
      <c r="Y16" s="7">
        <f>IF(N(M16)&gt;0,M16/W16-1,"")</f>
        <v/>
      </c>
      <c r="Z16" s="6">
        <f>U16</f>
        <v/>
      </c>
      <c r="AA16" s="5">
        <f>IFERROR(IF(N(M16)&gt;W16,(M16-W16)/(W16-Z16),""),"")</f>
        <v/>
      </c>
      <c r="AB16" s="27">
        <f>IFERROR(N16/(N16+O16+P16),"")</f>
        <v/>
      </c>
      <c r="AC16" s="4">
        <f>IF(D16="HELD","HELD: see Holdings sheet",IF(IF(ISNUMBER(R16),Inputs!$B$5&lt;R16,FALSE),"WASH-SALE LOCK until "&amp;TEXT(R16,"m/d"),IF(J16&lt;U16,"BELOW ZONE: wait for 200-day reclaim",IF(J16&gt;V16,"ABOVE ZONE: extended, wait",IF(IF(ISNUMBER(Q16),AND(Q16&gt;Inputs!$B$5,Q16-Inputs!$B$5&lt;=Inputs!$B$16),FALSE),"IN ZONE: earnings soon, wait",IF(N(M16)&lt;=J16,"IN ZONE: analysts see no upside",IF(J16&lt;=W16,"IN ZONE: at/below buy target - research","IN ZONE: research")))))))</f>
        <v/>
      </c>
      <c r="AD16" s="8">
        <f>IFERROR(INDEX('Rank Calc'!$P$5:$P$53,MATCH($A16,'Rank Calc'!$A$5:$A$53,0)),"")</f>
        <v/>
      </c>
      <c r="AE16" s="20" t="inlineStr">
        <is>
          <t>Already held (~15% of the joint account).</t>
        </is>
      </c>
    </row>
    <row r="17">
      <c r="A17" s="12" t="inlineStr">
        <is>
          <t>WES</t>
        </is>
      </c>
      <c r="B17" s="12" t="inlineStr">
        <is>
          <t>Western Midstream</t>
        </is>
      </c>
      <c r="C17" s="12" t="inlineStr">
        <is>
          <t>Buy Zone</t>
        </is>
      </c>
      <c r="D17" s="12" t="inlineStr"/>
      <c r="E17" s="12" t="inlineStr">
        <is>
          <t>A+</t>
        </is>
      </c>
      <c r="F17" s="26" t="n">
        <v>6</v>
      </c>
      <c r="G17" s="12" t="inlineStr">
        <is>
          <t>29 MIXED</t>
        </is>
      </c>
      <c r="H17" s="12" t="inlineStr">
        <is>
          <t>RICH -20% (high)</t>
        </is>
      </c>
      <c r="I17" s="12" t="inlineStr">
        <is>
          <t>STABLE</t>
        </is>
      </c>
      <c r="J17" s="14" t="n">
        <v>45.82</v>
      </c>
      <c r="K17" s="14" t="n">
        <v>46.5</v>
      </c>
      <c r="L17" s="14" t="n">
        <v>44.12</v>
      </c>
      <c r="M17" s="14" t="n">
        <v>49.54</v>
      </c>
      <c r="N17" s="26" t="n">
        <v>5</v>
      </c>
      <c r="O17" s="26" t="n">
        <v>10</v>
      </c>
      <c r="P17" s="26" t="n">
        <v>2</v>
      </c>
      <c r="Q17" s="15" t="n">
        <v>46330</v>
      </c>
      <c r="R17" s="12" t="n"/>
      <c r="S17" s="7">
        <f>J17/L17-1</f>
        <v/>
      </c>
      <c r="T17" s="7">
        <f>J17/K17-1</f>
        <v/>
      </c>
      <c r="U17" s="6">
        <f>L17*(1+Inputs!$B$17)</f>
        <v/>
      </c>
      <c r="V17" s="6">
        <f>L17*(1+Inputs!$B$18)</f>
        <v/>
      </c>
      <c r="W17" s="6">
        <f>L17*(1+Inputs!$B$19)</f>
        <v/>
      </c>
      <c r="X17" s="7">
        <f>J17/W17-1</f>
        <v/>
      </c>
      <c r="Y17" s="7">
        <f>IF(N(M17)&gt;0,M17/W17-1,"")</f>
        <v/>
      </c>
      <c r="Z17" s="6">
        <f>U17</f>
        <v/>
      </c>
      <c r="AA17" s="5">
        <f>IFERROR(IF(N(M17)&gt;W17,(M17-W17)/(W17-Z17),""),"")</f>
        <v/>
      </c>
      <c r="AB17" s="27">
        <f>IFERROR(N17/(N17+O17+P17),"")</f>
        <v/>
      </c>
      <c r="AC17" s="4">
        <f>IF(D17="HELD","HELD: see Holdings sheet",IF(IF(ISNUMBER(R17),Inputs!$B$5&lt;R17,FALSE),"WASH-SALE LOCK until "&amp;TEXT(R17,"m/d"),IF(J17&lt;U17,"BELOW ZONE: wait for 200-day reclaim",IF(J17&gt;V17,"ABOVE ZONE: extended, wait",IF(IF(ISNUMBER(Q17),AND(Q17&gt;Inputs!$B$5,Q17-Inputs!$B$5&lt;=Inputs!$B$16),FALSE),"IN ZONE: earnings soon, wait",IF(N(M17)&lt;=J17,"IN ZONE: analysts see no upside",IF(J17&lt;=W17,"IN ZONE: at/below buy target - research","IN ZONE: research")))))))</f>
        <v/>
      </c>
      <c r="AD17" s="8">
        <f>IFERROR(INDEX('Rank Calc'!$P$5:$P$53,MATCH($A17,'Rank Calc'!$A$5:$A$53,0)),"")</f>
        <v/>
      </c>
      <c r="AE17" s="20" t="inlineStr">
        <is>
          <t>Double bottom near trigger 46.42. Analysts mostly Hold.</t>
        </is>
      </c>
    </row>
    <row r="18">
      <c r="A18" s="12" t="inlineStr">
        <is>
          <t>RGLD</t>
        </is>
      </c>
      <c r="B18" s="12" t="inlineStr">
        <is>
          <t>Royal Gold</t>
        </is>
      </c>
      <c r="C18" s="12" t="inlineStr">
        <is>
          <t>Buy Zone</t>
        </is>
      </c>
      <c r="D18" s="12" t="inlineStr"/>
      <c r="E18" s="12" t="inlineStr">
        <is>
          <t>A</t>
        </is>
      </c>
      <c r="F18" s="26" t="n">
        <v>12</v>
      </c>
      <c r="G18" s="12" t="inlineStr">
        <is>
          <t>29 MIXED</t>
        </is>
      </c>
      <c r="H18" s="12" t="inlineStr">
        <is>
          <t>FAIR +7% (high)</t>
        </is>
      </c>
      <c r="I18" s="12" t="inlineStr">
        <is>
          <t>STABLE</t>
        </is>
      </c>
      <c r="J18" s="14" t="n">
        <v>236.83</v>
      </c>
      <c r="K18" s="14" t="n">
        <v>246.65</v>
      </c>
      <c r="L18" s="14" t="n">
        <v>241.42</v>
      </c>
      <c r="M18" s="14" t="n">
        <v>310.08</v>
      </c>
      <c r="N18" s="26" t="n">
        <v>11</v>
      </c>
      <c r="O18" s="26" t="n">
        <v>3</v>
      </c>
      <c r="P18" s="26" t="n">
        <v>1</v>
      </c>
      <c r="Q18" s="15" t="inlineStr">
        <is>
          <t>n/a</t>
        </is>
      </c>
      <c r="R18" s="12" t="n"/>
      <c r="S18" s="7">
        <f>J18/L18-1</f>
        <v/>
      </c>
      <c r="T18" s="7">
        <f>J18/K18-1</f>
        <v/>
      </c>
      <c r="U18" s="6">
        <f>L18*(1+Inputs!$B$17)</f>
        <v/>
      </c>
      <c r="V18" s="6">
        <f>L18*(1+Inputs!$B$18)</f>
        <v/>
      </c>
      <c r="W18" s="6">
        <f>L18*(1+Inputs!$B$19)</f>
        <v/>
      </c>
      <c r="X18" s="7">
        <f>J18/W18-1</f>
        <v/>
      </c>
      <c r="Y18" s="7">
        <f>IF(N(M18)&gt;0,M18/W18-1,"")</f>
        <v/>
      </c>
      <c r="Z18" s="6">
        <f>U18</f>
        <v/>
      </c>
      <c r="AA18" s="5">
        <f>IFERROR(IF(N(M18)&gt;W18,(M18-W18)/(W18-Z18),""),"")</f>
        <v/>
      </c>
      <c r="AB18" s="27">
        <f>IFERROR(N18/(N18+O18+P18),"")</f>
        <v/>
      </c>
      <c r="AC18" s="4">
        <f>IF(D18="HELD","HELD: see Holdings sheet",IF(IF(ISNUMBER(R18),Inputs!$B$5&lt;R18,FALSE),"WASH-SALE LOCK until "&amp;TEXT(R18,"m/d"),IF(J18&lt;U18,"BELOW ZONE: wait for 200-day reclaim",IF(J18&gt;V18,"ABOVE ZONE: extended, wait",IF(IF(ISNUMBER(Q18),AND(Q18&gt;Inputs!$B$5,Q18-Inputs!$B$5&lt;=Inputs!$B$16),FALSE),"IN ZONE: earnings soon, wait",IF(N(M18)&lt;=J18,"IN ZONE: analysts see no upside",IF(J18&lt;=W18,"IN ZONE: at/below buy target - research","IN ZONE: research")))))))</f>
        <v/>
      </c>
      <c r="AD18" s="8">
        <f>IFERROR(INDEX('Rank Calc'!$P$5:$P$53,MATCH($A18,'Rank Calc'!$A$5:$A$53,0)),"")</f>
        <v/>
      </c>
      <c r="AE18" s="20" t="inlineStr"/>
    </row>
    <row r="19">
      <c r="A19" s="12" t="inlineStr">
        <is>
          <t>WDC</t>
        </is>
      </c>
      <c r="B19" s="12" t="inlineStr">
        <is>
          <t>Western Digital</t>
        </is>
      </c>
      <c r="C19" s="12" t="inlineStr">
        <is>
          <t>Buy Zone</t>
        </is>
      </c>
      <c r="D19" s="12" t="inlineStr"/>
      <c r="E19" s="12" t="inlineStr">
        <is>
          <t>A</t>
        </is>
      </c>
      <c r="F19" s="26" t="n">
        <v>13</v>
      </c>
      <c r="G19" s="12" t="inlineStr">
        <is>
          <t>29 MIXED</t>
        </is>
      </c>
      <c r="H19" s="12" t="inlineStr">
        <is>
          <t>EXPENSIVE -50% (low)</t>
        </is>
      </c>
      <c r="I19" s="12" t="inlineStr">
        <is>
          <t>DISRUPTOR</t>
        </is>
      </c>
      <c r="J19" s="14" t="n">
        <v>395.41</v>
      </c>
      <c r="K19" s="14" t="n">
        <v>423.52</v>
      </c>
      <c r="L19" s="14" t="n">
        <v>418.23</v>
      </c>
      <c r="M19" s="14" t="n">
        <v>621.78</v>
      </c>
      <c r="N19" s="26" t="n">
        <v>22</v>
      </c>
      <c r="O19" s="26" t="n">
        <v>8</v>
      </c>
      <c r="P19" s="26" t="n">
        <v>0</v>
      </c>
      <c r="Q19" s="15" t="inlineStr">
        <is>
          <t>n/a</t>
        </is>
      </c>
      <c r="R19" s="12" t="n"/>
      <c r="S19" s="7">
        <f>J19/L19-1</f>
        <v/>
      </c>
      <c r="T19" s="7">
        <f>J19/K19-1</f>
        <v/>
      </c>
      <c r="U19" s="6">
        <f>L19*(1+Inputs!$B$17)</f>
        <v/>
      </c>
      <c r="V19" s="6">
        <f>L19*(1+Inputs!$B$18)</f>
        <v/>
      </c>
      <c r="W19" s="6">
        <f>L19*(1+Inputs!$B$19)</f>
        <v/>
      </c>
      <c r="X19" s="7">
        <f>J19/W19-1</f>
        <v/>
      </c>
      <c r="Y19" s="7">
        <f>IF(N(M19)&gt;0,M19/W19-1,"")</f>
        <v/>
      </c>
      <c r="Z19" s="6">
        <f>U19</f>
        <v/>
      </c>
      <c r="AA19" s="5">
        <f>IFERROR(IF(N(M19)&gt;W19,(M19-W19)/(W19-Z19),""),"")</f>
        <v/>
      </c>
      <c r="AB19" s="27">
        <f>IFERROR(N19/(N19+O19+P19),"")</f>
        <v/>
      </c>
      <c r="AC19" s="4">
        <f>IF(D19="HELD","HELD: see Holdings sheet",IF(IF(ISNUMBER(R19),Inputs!$B$5&lt;R19,FALSE),"WASH-SALE LOCK until "&amp;TEXT(R19,"m/d"),IF(J19&lt;U19,"BELOW ZONE: wait for 200-day reclaim",IF(J19&gt;V19,"ABOVE ZONE: extended, wait",IF(IF(ISNUMBER(Q19),AND(Q19&gt;Inputs!$B$5,Q19-Inputs!$B$5&lt;=Inputs!$B$16),FALSE),"IN ZONE: earnings soon, wait",IF(N(M19)&lt;=J19,"IN ZONE: analysts see no upside",IF(J19&lt;=W19,"IN ZONE: at/below buy target - research","IN ZONE: research")))))))</f>
        <v/>
      </c>
      <c r="AD19" s="8">
        <f>IFERROR(INDEX('Rank Calc'!$P$5:$P$53,MATCH($A19,'Rank Calc'!$A$5:$A$53,0)),"")</f>
        <v/>
      </c>
      <c r="AE19" s="20" t="inlineStr">
        <is>
          <t>-4.5% after hours.</t>
        </is>
      </c>
    </row>
    <row r="20">
      <c r="A20" s="12" t="inlineStr">
        <is>
          <t>NBIX</t>
        </is>
      </c>
      <c r="B20" s="12" t="inlineStr">
        <is>
          <t>Neurocrine Biosciences</t>
        </is>
      </c>
      <c r="C20" s="12" t="inlineStr">
        <is>
          <t>Buy Zone</t>
        </is>
      </c>
      <c r="D20" s="12" t="inlineStr"/>
      <c r="E20" s="12" t="inlineStr">
        <is>
          <t>A</t>
        </is>
      </c>
      <c r="F20" s="26" t="n">
        <v>18</v>
      </c>
      <c r="G20" s="12" t="inlineStr">
        <is>
          <t>29 MIXED</t>
        </is>
      </c>
      <c r="H20" s="12" t="inlineStr">
        <is>
          <t>DEEP VALUE +100% (low)</t>
        </is>
      </c>
      <c r="I20" s="12" t="inlineStr">
        <is>
          <t>DISRUPTOR</t>
        </is>
      </c>
      <c r="J20" s="14" t="n">
        <v>146.38</v>
      </c>
      <c r="K20" s="14" t="n">
        <v>146.75</v>
      </c>
      <c r="L20" s="14" t="n">
        <v>147.32</v>
      </c>
      <c r="M20" s="14" t="n">
        <v>207.37</v>
      </c>
      <c r="N20" s="26" t="n">
        <v>27</v>
      </c>
      <c r="O20" s="26" t="n">
        <v>4</v>
      </c>
      <c r="P20" s="26" t="n">
        <v>0</v>
      </c>
      <c r="Q20" s="15" t="n">
        <v>46328</v>
      </c>
      <c r="R20" s="12" t="n"/>
      <c r="S20" s="7">
        <f>J20/L20-1</f>
        <v/>
      </c>
      <c r="T20" s="7">
        <f>J20/K20-1</f>
        <v/>
      </c>
      <c r="U20" s="6">
        <f>L20*(1+Inputs!$B$17)</f>
        <v/>
      </c>
      <c r="V20" s="6">
        <f>L20*(1+Inputs!$B$18)</f>
        <v/>
      </c>
      <c r="W20" s="6">
        <f>L20*(1+Inputs!$B$19)</f>
        <v/>
      </c>
      <c r="X20" s="7">
        <f>J20/W20-1</f>
        <v/>
      </c>
      <c r="Y20" s="7">
        <f>IF(N(M20)&gt;0,M20/W20-1,"")</f>
        <v/>
      </c>
      <c r="Z20" s="6">
        <f>U20</f>
        <v/>
      </c>
      <c r="AA20" s="5">
        <f>IFERROR(IF(N(M20)&gt;W20,(M20-W20)/(W20-Z20),""),"")</f>
        <v/>
      </c>
      <c r="AB20" s="27">
        <f>IFERROR(N20/(N20+O20+P20),"")</f>
        <v/>
      </c>
      <c r="AC20" s="4">
        <f>IF(D20="HELD","HELD: see Holdings sheet",IF(IF(ISNUMBER(R20),Inputs!$B$5&lt;R20,FALSE),"WASH-SALE LOCK until "&amp;TEXT(R20,"m/d"),IF(J20&lt;U20,"BELOW ZONE: wait for 200-day reclaim",IF(J20&gt;V20,"ABOVE ZONE: extended, wait",IF(IF(ISNUMBER(Q20),AND(Q20&gt;Inputs!$B$5,Q20-Inputs!$B$5&lt;=Inputs!$B$16),FALSE),"IN ZONE: earnings soon, wait",IF(N(M20)&lt;=J20,"IN ZONE: analysts see no upside",IF(J20&lt;=W20,"IN ZONE: at/below buy target - research","IN ZONE: research")))))))</f>
        <v/>
      </c>
      <c r="AD20" s="8">
        <f>IFERROR(INDEX('Rank Calc'!$P$5:$P$53,MATCH($A20,'Rank Calc'!$A$5:$A$53,0)),"")</f>
        <v/>
      </c>
      <c r="AE20" s="20" t="inlineStr">
        <is>
          <t>Reports 11/2.</t>
        </is>
      </c>
    </row>
    <row r="21">
      <c r="A21" s="12" t="inlineStr">
        <is>
          <t>CDNS</t>
        </is>
      </c>
      <c r="B21" s="12" t="inlineStr">
        <is>
          <t>Cadence Design</t>
        </is>
      </c>
      <c r="C21" s="12" t="inlineStr">
        <is>
          <t>Buy Zone</t>
        </is>
      </c>
      <c r="D21" s="12" t="inlineStr">
        <is>
          <t>HELD</t>
        </is>
      </c>
      <c r="E21" s="12" t="inlineStr">
        <is>
          <t>A</t>
        </is>
      </c>
      <c r="F21" s="26" t="n">
        <v>19</v>
      </c>
      <c r="G21" s="12" t="inlineStr">
        <is>
          <t>29 MIXED</t>
        </is>
      </c>
      <c r="H21" s="12" t="inlineStr">
        <is>
          <t>FAIR -9% (high)</t>
        </is>
      </c>
      <c r="I21" s="12" t="inlineStr">
        <is>
          <t>INNOVATING</t>
        </is>
      </c>
      <c r="J21" s="14" t="n">
        <v>342.75</v>
      </c>
      <c r="K21" s="14" t="n">
        <v>320.24</v>
      </c>
      <c r="L21" s="14" t="n">
        <v>327.46</v>
      </c>
      <c r="M21" s="14" t="n">
        <v>415.04</v>
      </c>
      <c r="N21" s="26" t="n">
        <v>25</v>
      </c>
      <c r="O21" s="26" t="n">
        <v>3</v>
      </c>
      <c r="P21" s="26" t="n">
        <v>0</v>
      </c>
      <c r="Q21" s="15" t="inlineStr">
        <is>
          <t>n/a</t>
        </is>
      </c>
      <c r="R21" s="12" t="n"/>
      <c r="S21" s="7">
        <f>J21/L21-1</f>
        <v/>
      </c>
      <c r="T21" s="7">
        <f>J21/K21-1</f>
        <v/>
      </c>
      <c r="U21" s="6">
        <f>L21*(1+Inputs!$B$17)</f>
        <v/>
      </c>
      <c r="V21" s="6">
        <f>L21*(1+Inputs!$B$18)</f>
        <v/>
      </c>
      <c r="W21" s="6">
        <f>L21*(1+Inputs!$B$19)</f>
        <v/>
      </c>
      <c r="X21" s="7">
        <f>J21/W21-1</f>
        <v/>
      </c>
      <c r="Y21" s="7">
        <f>IF(N(M21)&gt;0,M21/W21-1,"")</f>
        <v/>
      </c>
      <c r="Z21" s="6">
        <f>U21</f>
        <v/>
      </c>
      <c r="AA21" s="5">
        <f>IFERROR(IF(N(M21)&gt;W21,(M21-W21)/(W21-Z21),""),"")</f>
        <v/>
      </c>
      <c r="AB21" s="27">
        <f>IFERROR(N21/(N21+O21+P21),"")</f>
        <v/>
      </c>
      <c r="AC21" s="4">
        <f>IF(D21="HELD","HELD: see Holdings sheet",IF(IF(ISNUMBER(R21),Inputs!$B$5&lt;R21,FALSE),"WASH-SALE LOCK until "&amp;TEXT(R21,"m/d"),IF(J21&lt;U21,"BELOW ZONE: wait for 200-day reclaim",IF(J21&gt;V21,"ABOVE ZONE: extended, wait",IF(IF(ISNUMBER(Q21),AND(Q21&gt;Inputs!$B$5,Q21-Inputs!$B$5&lt;=Inputs!$B$16),FALSE),"IN ZONE: earnings soon, wait",IF(N(M21)&lt;=J21,"IN ZONE: analysts see no upside",IF(J21&lt;=W21,"IN ZONE: at/below buy target - research","IN ZONE: research")))))))</f>
        <v/>
      </c>
      <c r="AD21" s="8">
        <f>IFERROR(INDEX('Rank Calc'!$P$5:$P$53,MATCH($A21,'Rank Calc'!$A$5:$A$53,0)),"")</f>
        <v/>
      </c>
      <c r="AE21" s="20" t="inlineStr">
        <is>
          <t>Target agreement LOW: fundamental and Robinhood targets 35% apart.</t>
        </is>
      </c>
    </row>
    <row r="22">
      <c r="A22" s="12" t="inlineStr">
        <is>
          <t>ADBE</t>
        </is>
      </c>
      <c r="B22" s="12" t="inlineStr">
        <is>
          <t>Adobe</t>
        </is>
      </c>
      <c r="C22" s="12" t="inlineStr">
        <is>
          <t>Buy Zone</t>
        </is>
      </c>
      <c r="D22" s="12" t="inlineStr"/>
      <c r="E22" s="12" t="inlineStr">
        <is>
          <t>A</t>
        </is>
      </c>
      <c r="F22" s="26" t="n">
        <v>22</v>
      </c>
      <c r="G22" s="12" t="inlineStr">
        <is>
          <t>29 MIXED</t>
        </is>
      </c>
      <c r="H22" s="12" t="inlineStr">
        <is>
          <t>DEEP VALUE +100% (low)</t>
        </is>
      </c>
      <c r="I22" s="12" t="inlineStr">
        <is>
          <t>AT RISK</t>
        </is>
      </c>
      <c r="J22" s="14" t="n">
        <v>248.12</v>
      </c>
      <c r="K22" s="14" t="n">
        <v>254.84</v>
      </c>
      <c r="L22" s="14" t="n">
        <v>250.71</v>
      </c>
      <c r="M22" s="14" t="n">
        <v>269.5</v>
      </c>
      <c r="N22" s="26" t="n">
        <v>11</v>
      </c>
      <c r="O22" s="26" t="n">
        <v>25</v>
      </c>
      <c r="P22" s="26" t="n">
        <v>5</v>
      </c>
      <c r="Q22" s="15" t="inlineStr">
        <is>
          <t>n/a</t>
        </is>
      </c>
      <c r="R22" s="12" t="n"/>
      <c r="S22" s="7">
        <f>J22/L22-1</f>
        <v/>
      </c>
      <c r="T22" s="7">
        <f>J22/K22-1</f>
        <v/>
      </c>
      <c r="U22" s="6">
        <f>L22*(1+Inputs!$B$17)</f>
        <v/>
      </c>
      <c r="V22" s="6">
        <f>L22*(1+Inputs!$B$18)</f>
        <v/>
      </c>
      <c r="W22" s="6">
        <f>L22*(1+Inputs!$B$19)</f>
        <v/>
      </c>
      <c r="X22" s="7">
        <f>J22/W22-1</f>
        <v/>
      </c>
      <c r="Y22" s="7">
        <f>IF(N(M22)&gt;0,M22/W22-1,"")</f>
        <v/>
      </c>
      <c r="Z22" s="6">
        <f>U22</f>
        <v/>
      </c>
      <c r="AA22" s="5">
        <f>IFERROR(IF(N(M22)&gt;W22,(M22-W22)/(W22-Z22),""),"")</f>
        <v/>
      </c>
      <c r="AB22" s="27">
        <f>IFERROR(N22/(N22+O22+P22),"")</f>
        <v/>
      </c>
      <c r="AC22" s="4">
        <f>IF(D22="HELD","HELD: see Holdings sheet",IF(IF(ISNUMBER(R22),Inputs!$B$5&lt;R22,FALSE),"WASH-SALE LOCK until "&amp;TEXT(R22,"m/d"),IF(J22&lt;U22,"BELOW ZONE: wait for 200-day reclaim",IF(J22&gt;V22,"ABOVE ZONE: extended, wait",IF(IF(ISNUMBER(Q22),AND(Q22&gt;Inputs!$B$5,Q22-Inputs!$B$5&lt;=Inputs!$B$16),FALSE),"IN ZONE: earnings soon, wait",IF(N(M22)&lt;=J22,"IN ZONE: analysts see no upside",IF(J22&lt;=W22,"IN ZONE: at/below buy target - research","IN ZONE: research")))))))</f>
        <v/>
      </c>
      <c r="AD22" s="8">
        <f>IFERROR(INDEX('Rank Calc'!$P$5:$P$53,MATCH($A22,'Rank Calc'!$A$5:$A$53,0)),"")</f>
        <v/>
      </c>
      <c r="AE22" s="20" t="inlineStr">
        <is>
          <t>VALUE TRAP? flag: AI design tools pressure; thesis weakened 10/23.</t>
        </is>
      </c>
    </row>
    <row r="23">
      <c r="A23" s="12" t="inlineStr">
        <is>
          <t>PAC</t>
        </is>
      </c>
      <c r="B23" s="12" t="inlineStr">
        <is>
          <t>Grupo Aeroportuario del Pacifico</t>
        </is>
      </c>
      <c r="C23" s="12" t="inlineStr">
        <is>
          <t>Buy Zone</t>
        </is>
      </c>
      <c r="D23" s="12" t="inlineStr"/>
      <c r="E23" s="12" t="inlineStr">
        <is>
          <t>A</t>
        </is>
      </c>
      <c r="F23" s="26" t="n">
        <v>10</v>
      </c>
      <c r="G23" s="12" t="inlineStr">
        <is>
          <t>0 EXTENDED</t>
        </is>
      </c>
      <c r="H23" s="12" t="inlineStr">
        <is>
          <t>DEEP VALUE +55% (med)</t>
        </is>
      </c>
      <c r="I23" s="12" t="inlineStr">
        <is>
          <t>DISRUPTOR</t>
        </is>
      </c>
      <c r="J23" s="14" t="n">
        <v>227.47</v>
      </c>
      <c r="K23" s="14" t="n">
        <v>208.31</v>
      </c>
      <c r="L23" s="14" t="n">
        <v>236.65</v>
      </c>
      <c r="M23" s="14" t="n">
        <v>232.5</v>
      </c>
      <c r="N23" s="26" t="n">
        <v>6</v>
      </c>
      <c r="O23" s="26" t="n">
        <v>7</v>
      </c>
      <c r="P23" s="26" t="n">
        <v>0</v>
      </c>
      <c r="Q23" s="15" t="inlineStr">
        <is>
          <t>n/a</t>
        </is>
      </c>
      <c r="R23" s="12" t="n"/>
      <c r="S23" s="7">
        <f>J23/L23-1</f>
        <v/>
      </c>
      <c r="T23" s="7">
        <f>J23/K23-1</f>
        <v/>
      </c>
      <c r="U23" s="6">
        <f>L23*(1+Inputs!$B$17)</f>
        <v/>
      </c>
      <c r="V23" s="6">
        <f>L23*(1+Inputs!$B$18)</f>
        <v/>
      </c>
      <c r="W23" s="6">
        <f>L23*(1+Inputs!$B$19)</f>
        <v/>
      </c>
      <c r="X23" s="7">
        <f>J23/W23-1</f>
        <v/>
      </c>
      <c r="Y23" s="7">
        <f>IF(N(M23)&gt;0,M23/W23-1,"")</f>
        <v/>
      </c>
      <c r="Z23" s="6">
        <f>U23</f>
        <v/>
      </c>
      <c r="AA23" s="5">
        <f>IFERROR(IF(N(M23)&gt;W23,(M23-W23)/(W23-Z23),""),"")</f>
        <v/>
      </c>
      <c r="AB23" s="27">
        <f>IFERROR(N23/(N23+O23+P23),"")</f>
        <v/>
      </c>
      <c r="AC23" s="4">
        <f>IF(D23="HELD","HELD: see Holdings sheet",IF(IF(ISNUMBER(R23),Inputs!$B$5&lt;R23,FALSE),"WASH-SALE LOCK until "&amp;TEXT(R23,"m/d"),IF(J23&lt;U23,"BELOW ZONE: wait for 200-day reclaim",IF(J23&gt;V23,"ABOVE ZONE: extended, wait",IF(IF(ISNUMBER(Q23),AND(Q23&gt;Inputs!$B$5,Q23-Inputs!$B$5&lt;=Inputs!$B$16),FALSE),"IN ZONE: earnings soon, wait",IF(N(M23)&lt;=J23,"IN ZONE: analysts see no upside",IF(J23&lt;=W23,"IN ZONE: at/below buy target - research","IN ZONE: research")))))))</f>
        <v/>
      </c>
      <c r="AD23" s="8">
        <f>IFERROR(INDEX('Rank Calc'!$P$5:$P$53,MATCH($A23,'Rank Calc'!$A$5:$A$53,0)),"")</f>
        <v/>
      </c>
      <c r="AE23" s="20" t="inlineStr">
        <is>
          <t>Analyst target last updated 2020: stale.</t>
        </is>
      </c>
    </row>
    <row r="24">
      <c r="A24" s="12" t="inlineStr">
        <is>
          <t>PSA</t>
        </is>
      </c>
      <c r="B24" s="12" t="inlineStr">
        <is>
          <t>Public Storage</t>
        </is>
      </c>
      <c r="C24" s="12" t="inlineStr">
        <is>
          <t>Buy Zone</t>
        </is>
      </c>
      <c r="D24" s="12" t="inlineStr"/>
      <c r="E24" s="12" t="inlineStr">
        <is>
          <t>A</t>
        </is>
      </c>
      <c r="F24" s="26" t="n">
        <v>16</v>
      </c>
      <c r="G24" s="12" t="inlineStr">
        <is>
          <t>0 EXTENDED</t>
        </is>
      </c>
      <c r="H24" s="12" t="inlineStr">
        <is>
          <t>RICH -13% (high)</t>
        </is>
      </c>
      <c r="I24" s="12" t="inlineStr">
        <is>
          <t>STABLE</t>
        </is>
      </c>
      <c r="J24" s="14" t="n">
        <v>317.06</v>
      </c>
      <c r="K24" s="14" t="n">
        <v>298.61</v>
      </c>
      <c r="L24" s="14" t="n">
        <v>302.64</v>
      </c>
      <c r="M24" s="14" t="n">
        <v>330.06</v>
      </c>
      <c r="N24" s="26" t="n">
        <v>7</v>
      </c>
      <c r="O24" s="26" t="n">
        <v>16</v>
      </c>
      <c r="P24" s="26" t="n">
        <v>0</v>
      </c>
      <c r="Q24" s="15" t="inlineStr">
        <is>
          <t>n/a</t>
        </is>
      </c>
      <c r="R24" s="12" t="n"/>
      <c r="S24" s="7">
        <f>J24/L24-1</f>
        <v/>
      </c>
      <c r="T24" s="7">
        <f>J24/K24-1</f>
        <v/>
      </c>
      <c r="U24" s="6">
        <f>L24*(1+Inputs!$B$17)</f>
        <v/>
      </c>
      <c r="V24" s="6">
        <f>L24*(1+Inputs!$B$18)</f>
        <v/>
      </c>
      <c r="W24" s="6">
        <f>L24*(1+Inputs!$B$19)</f>
        <v/>
      </c>
      <c r="X24" s="7">
        <f>J24/W24-1</f>
        <v/>
      </c>
      <c r="Y24" s="7">
        <f>IF(N(M24)&gt;0,M24/W24-1,"")</f>
        <v/>
      </c>
      <c r="Z24" s="6">
        <f>U24</f>
        <v/>
      </c>
      <c r="AA24" s="5">
        <f>IFERROR(IF(N(M24)&gt;W24,(M24-W24)/(W24-Z24),""),"")</f>
        <v/>
      </c>
      <c r="AB24" s="27">
        <f>IFERROR(N24/(N24+O24+P24),"")</f>
        <v/>
      </c>
      <c r="AC24" s="4">
        <f>IF(D24="HELD","HELD: see Holdings sheet",IF(IF(ISNUMBER(R24),Inputs!$B$5&lt;R24,FALSE),"WASH-SALE LOCK until "&amp;TEXT(R24,"m/d"),IF(J24&lt;U24,"BELOW ZONE: wait for 200-day reclaim",IF(J24&gt;V24,"ABOVE ZONE: extended, wait",IF(IF(ISNUMBER(Q24),AND(Q24&gt;Inputs!$B$5,Q24-Inputs!$B$5&lt;=Inputs!$B$16),FALSE),"IN ZONE: earnings soon, wait",IF(N(M24)&lt;=J24,"IN ZONE: analysts see no upside",IF(J24&lt;=W24,"IN ZONE: at/below buy target - research","IN ZONE: research")))))))</f>
        <v/>
      </c>
      <c r="AD24" s="8">
        <f>IFERROR(INDEX('Rank Calc'!$P$5:$P$53,MATCH($A24,'Rank Calc'!$A$5:$A$53,0)),"")</f>
        <v/>
      </c>
      <c r="AE24" s="20" t="inlineStr"/>
    </row>
    <row r="25">
      <c r="A25" s="12" t="inlineStr">
        <is>
          <t>ISRG</t>
        </is>
      </c>
      <c r="B25" s="12" t="inlineStr">
        <is>
          <t>Intuitive Surgical</t>
        </is>
      </c>
      <c r="C25" s="12" t="inlineStr">
        <is>
          <t>Buy Zone</t>
        </is>
      </c>
      <c r="D25" s="12" t="inlineStr"/>
      <c r="E25" s="12" t="inlineStr">
        <is>
          <t>A</t>
        </is>
      </c>
      <c r="F25" s="26" t="n">
        <v>20</v>
      </c>
      <c r="G25" s="12" t="inlineStr">
        <is>
          <t>0 EXTENDED</t>
        </is>
      </c>
      <c r="H25" s="12" t="inlineStr">
        <is>
          <t>DEEP VALUE +44% (high)</t>
        </is>
      </c>
      <c r="I25" s="12" t="inlineStr">
        <is>
          <t>AT RISK</t>
        </is>
      </c>
      <c r="J25" s="14" t="n">
        <v>448.76</v>
      </c>
      <c r="K25" s="14" t="n">
        <v>400.3</v>
      </c>
      <c r="L25" s="14" t="n">
        <v>433.61</v>
      </c>
      <c r="M25" s="14" t="n">
        <v>489.57</v>
      </c>
      <c r="N25" s="26" t="n">
        <v>21</v>
      </c>
      <c r="O25" s="26" t="n">
        <v>8</v>
      </c>
      <c r="P25" s="26" t="n">
        <v>2</v>
      </c>
      <c r="Q25" s="15" t="inlineStr">
        <is>
          <t>n/a</t>
        </is>
      </c>
      <c r="R25" s="12" t="n"/>
      <c r="S25" s="7">
        <f>J25/L25-1</f>
        <v/>
      </c>
      <c r="T25" s="7">
        <f>J25/K25-1</f>
        <v/>
      </c>
      <c r="U25" s="6">
        <f>L25*(1+Inputs!$B$17)</f>
        <v/>
      </c>
      <c r="V25" s="6">
        <f>L25*(1+Inputs!$B$18)</f>
        <v/>
      </c>
      <c r="W25" s="6">
        <f>L25*(1+Inputs!$B$19)</f>
        <v/>
      </c>
      <c r="X25" s="7">
        <f>J25/W25-1</f>
        <v/>
      </c>
      <c r="Y25" s="7">
        <f>IF(N(M25)&gt;0,M25/W25-1,"")</f>
        <v/>
      </c>
      <c r="Z25" s="6">
        <f>U25</f>
        <v/>
      </c>
      <c r="AA25" s="5">
        <f>IFERROR(IF(N(M25)&gt;W25,(M25-W25)/(W25-Z25),""),"")</f>
        <v/>
      </c>
      <c r="AB25" s="27">
        <f>IFERROR(N25/(N25+O25+P25),"")</f>
        <v/>
      </c>
      <c r="AC25" s="4">
        <f>IF(D25="HELD","HELD: see Holdings sheet",IF(IF(ISNUMBER(R25),Inputs!$B$5&lt;R25,FALSE),"WASH-SALE LOCK until "&amp;TEXT(R25,"m/d"),IF(J25&lt;U25,"BELOW ZONE: wait for 200-day reclaim",IF(J25&gt;V25,"ABOVE ZONE: extended, wait",IF(IF(ISNUMBER(Q25),AND(Q25&gt;Inputs!$B$5,Q25-Inputs!$B$5&lt;=Inputs!$B$16),FALSE),"IN ZONE: earnings soon, wait",IF(N(M25)&lt;=J25,"IN ZONE: analysts see no upside",IF(J25&lt;=W25,"IN ZONE: at/below buy target - research","IN ZONE: research")))))))</f>
        <v/>
      </c>
      <c r="AD25" s="8">
        <f>IFERROR(INDEX('Rank Calc'!$P$5:$P$53,MATCH($A25,'Rank Calc'!$A$5:$A$53,0)),"")</f>
        <v/>
      </c>
      <c r="AE25" s="20" t="inlineStr">
        <is>
          <t>VALUE TRAP? flag from the quant grade; research says innovating.</t>
        </is>
      </c>
    </row>
    <row r="26">
      <c r="A26" s="12" t="inlineStr">
        <is>
          <t>TROW</t>
        </is>
      </c>
      <c r="B26" s="12" t="inlineStr">
        <is>
          <t>T. Rowe Price</t>
        </is>
      </c>
      <c r="C26" s="12" t="inlineStr">
        <is>
          <t>Buy Zone</t>
        </is>
      </c>
      <c r="D26" s="12" t="inlineStr"/>
      <c r="E26" s="12" t="inlineStr">
        <is>
          <t>A</t>
        </is>
      </c>
      <c r="F26" s="26" t="n">
        <v>21</v>
      </c>
      <c r="G26" s="12" t="inlineStr">
        <is>
          <t>0 EXTENDED</t>
        </is>
      </c>
      <c r="H26" s="12" t="inlineStr">
        <is>
          <t>DEEP VALUE +34% (med)</t>
        </is>
      </c>
      <c r="I26" s="12" t="inlineStr">
        <is>
          <t>STABLE</t>
        </is>
      </c>
      <c r="J26" s="14" t="n">
        <v>106.63</v>
      </c>
      <c r="K26" s="14" t="n">
        <v>105.77</v>
      </c>
      <c r="L26" s="14" t="n">
        <v>103.68</v>
      </c>
      <c r="M26" s="14" t="n">
        <v>102.83</v>
      </c>
      <c r="N26" s="26" t="n">
        <v>0</v>
      </c>
      <c r="O26" s="26" t="n">
        <v>10</v>
      </c>
      <c r="P26" s="26" t="n">
        <v>5</v>
      </c>
      <c r="Q26" s="15" t="inlineStr">
        <is>
          <t>n/a</t>
        </is>
      </c>
      <c r="R26" s="12" t="n"/>
      <c r="S26" s="7">
        <f>J26/L26-1</f>
        <v/>
      </c>
      <c r="T26" s="7">
        <f>J26/K26-1</f>
        <v/>
      </c>
      <c r="U26" s="6">
        <f>L26*(1+Inputs!$B$17)</f>
        <v/>
      </c>
      <c r="V26" s="6">
        <f>L26*(1+Inputs!$B$18)</f>
        <v/>
      </c>
      <c r="W26" s="6">
        <f>L26*(1+Inputs!$B$19)</f>
        <v/>
      </c>
      <c r="X26" s="7">
        <f>J26/W26-1</f>
        <v/>
      </c>
      <c r="Y26" s="7">
        <f>IF(N(M26)&gt;0,M26/W26-1,"")</f>
        <v/>
      </c>
      <c r="Z26" s="6">
        <f>U26</f>
        <v/>
      </c>
      <c r="AA26" s="5">
        <f>IFERROR(IF(N(M26)&gt;W26,(M26-W26)/(W26-Z26),""),"")</f>
        <v/>
      </c>
      <c r="AB26" s="27">
        <f>IFERROR(N26/(N26+O26+P26),"")</f>
        <v/>
      </c>
      <c r="AC26" s="4">
        <f>IF(D26="HELD","HELD: see Holdings sheet",IF(IF(ISNUMBER(R26),Inputs!$B$5&lt;R26,FALSE),"WASH-SALE LOCK until "&amp;TEXT(R26,"m/d"),IF(J26&lt;U26,"BELOW ZONE: wait for 200-day reclaim",IF(J26&gt;V26,"ABOVE ZONE: extended, wait",IF(IF(ISNUMBER(Q26),AND(Q26&gt;Inputs!$B$5,Q26-Inputs!$B$5&lt;=Inputs!$B$16),FALSE),"IN ZONE: earnings soon, wait",IF(N(M26)&lt;=J26,"IN ZONE: analysts see no upside",IF(J26&lt;=W26,"IN ZONE: at/below buy target - research","IN ZONE: research")))))))</f>
        <v/>
      </c>
      <c r="AD26" s="8">
        <f>IFERROR(INDEX('Rank Calc'!$P$5:$P$53,MATCH($A26,'Rank Calc'!$A$5:$A$53,0)),"")</f>
        <v/>
      </c>
      <c r="AE26" s="20" t="inlineStr">
        <is>
          <t>VALUE TRAP? Losing assets to passive funds. No Buy ratings.</t>
        </is>
      </c>
    </row>
    <row r="27">
      <c r="A27" s="12" t="inlineStr">
        <is>
          <t>SKHY</t>
        </is>
      </c>
      <c r="B27" s="12" t="inlineStr">
        <is>
          <t>SK hynix (ADR)</t>
        </is>
      </c>
      <c r="C27" s="12" t="inlineStr">
        <is>
          <t>Buy Zone</t>
        </is>
      </c>
      <c r="D27" s="12" t="inlineStr"/>
      <c r="E27" s="12" t="inlineStr">
        <is>
          <t>A+</t>
        </is>
      </c>
      <c r="F27" s="26" t="n">
        <v>2</v>
      </c>
      <c r="G27" s="12" t="inlineStr">
        <is>
          <t>n/a</t>
        </is>
      </c>
      <c r="H27" s="12" t="inlineStr">
        <is>
          <t>DEEP VALUE +100% (low)</t>
        </is>
      </c>
      <c r="I27" s="12" t="inlineStr">
        <is>
          <t>DISRUPTOR</t>
        </is>
      </c>
      <c r="J27" s="14" t="n">
        <v>162.09</v>
      </c>
      <c r="K27" s="14" t="n">
        <v>169.17</v>
      </c>
      <c r="L27" s="14" t="n">
        <v>154.83</v>
      </c>
      <c r="M27" s="14" t="n">
        <v>263.91</v>
      </c>
      <c r="N27" s="26" t="n">
        <v>12</v>
      </c>
      <c r="O27" s="26" t="n">
        <v>2</v>
      </c>
      <c r="P27" s="26" t="n">
        <v>0</v>
      </c>
      <c r="Q27" s="15" t="inlineStr">
        <is>
          <t>n/a</t>
        </is>
      </c>
      <c r="R27" s="15" t="n">
        <v>46348</v>
      </c>
      <c r="S27" s="7">
        <f>J27/L27-1</f>
        <v/>
      </c>
      <c r="T27" s="7">
        <f>J27/K27-1</f>
        <v/>
      </c>
      <c r="U27" s="6">
        <f>L27*(1+Inputs!$B$17)</f>
        <v/>
      </c>
      <c r="V27" s="6">
        <f>L27*(1+Inputs!$B$18)</f>
        <v/>
      </c>
      <c r="W27" s="6">
        <f>L27*(1+Inputs!$B$19)</f>
        <v/>
      </c>
      <c r="X27" s="7">
        <f>J27/W27-1</f>
        <v/>
      </c>
      <c r="Y27" s="7">
        <f>IF(N(M27)&gt;0,M27/W27-1,"")</f>
        <v/>
      </c>
      <c r="Z27" s="6">
        <f>U27</f>
        <v/>
      </c>
      <c r="AA27" s="5">
        <f>IFERROR(IF(N(M27)&gt;W27,(M27-W27)/(W27-Z27),""),"")</f>
        <v/>
      </c>
      <c r="AB27" s="27">
        <f>IFERROR(N27/(N27+O27+P27),"")</f>
        <v/>
      </c>
      <c r="AC27" s="4">
        <f>IF(D27="HELD","HELD: see Holdings sheet",IF(IF(ISNUMBER(R27),Inputs!$B$5&lt;R27,FALSE),"WASH-SALE LOCK until "&amp;TEXT(R27,"m/d"),IF(J27&lt;U27,"BELOW ZONE: wait for 200-day reclaim",IF(J27&gt;V27,"ABOVE ZONE: extended, wait",IF(IF(ISNUMBER(Q27),AND(Q27&gt;Inputs!$B$5,Q27-Inputs!$B$5&lt;=Inputs!$B$16),FALSE),"IN ZONE: earnings soon, wait",IF(N(M27)&lt;=J27,"IN ZONE: analysts see no upside",IF(J27&lt;=W27,"IN ZONE: at/below buy target - research","IN ZONE: research")))))))</f>
        <v/>
      </c>
      <c r="AD27" s="8">
        <f>IFERROR(INDEX('Rank Calc'!$P$5:$P$53,MATCH($A27,'Rank Calc'!$A$5:$A$53,0)),"")</f>
        <v/>
      </c>
      <c r="AE27" s="20" t="inlineStr">
        <is>
          <t>-5.3% after hours.</t>
        </is>
      </c>
    </row>
    <row r="28">
      <c r="A28" s="12" t="inlineStr">
        <is>
          <t>MOD</t>
        </is>
      </c>
      <c r="B28" s="12" t="inlineStr">
        <is>
          <t>Modine Manufacturing</t>
        </is>
      </c>
      <c r="C28" s="12" t="inlineStr">
        <is>
          <t>Re-buy</t>
        </is>
      </c>
      <c r="D28" s="12" t="inlineStr"/>
      <c r="E28" s="12" t="inlineStr">
        <is>
          <t>n/a</t>
        </is>
      </c>
      <c r="F28" s="12" t="n"/>
      <c r="G28" s="12" t="inlineStr">
        <is>
          <t>WAIT (re-buy stage)</t>
        </is>
      </c>
      <c r="H28" s="12" t="inlineStr">
        <is>
          <t>EXPENSIVE -50% (low)</t>
        </is>
      </c>
      <c r="I28" s="12" t="inlineStr">
        <is>
          <t>INNOVATING</t>
        </is>
      </c>
      <c r="J28" s="14" t="n">
        <v>138.79</v>
      </c>
      <c r="K28" s="14" t="n">
        <v>175.88</v>
      </c>
      <c r="L28" s="14" t="n">
        <v>216.14</v>
      </c>
      <c r="M28" s="14" t="n">
        <v>282.48</v>
      </c>
      <c r="N28" s="26" t="n">
        <v>12</v>
      </c>
      <c r="O28" s="26" t="n">
        <v>0</v>
      </c>
      <c r="P28" s="26" t="n">
        <v>0</v>
      </c>
      <c r="Q28" s="15" t="inlineStr">
        <is>
          <t>n/a</t>
        </is>
      </c>
      <c r="R28" s="15" t="n">
        <v>46340</v>
      </c>
      <c r="S28" s="7">
        <f>J28/L28-1</f>
        <v/>
      </c>
      <c r="T28" s="7">
        <f>J28/K28-1</f>
        <v/>
      </c>
      <c r="U28" s="6">
        <f>L28*(1+Inputs!$B$17)</f>
        <v/>
      </c>
      <c r="V28" s="6">
        <f>L28*(1+Inputs!$B$18)</f>
        <v/>
      </c>
      <c r="W28" s="6">
        <f>L28*(1+Inputs!$B$19)</f>
        <v/>
      </c>
      <c r="X28" s="7">
        <f>J28/W28-1</f>
        <v/>
      </c>
      <c r="Y28" s="7">
        <f>IF(N(M28)&gt;0,M28/W28-1,"")</f>
        <v/>
      </c>
      <c r="Z28" s="6">
        <f>U28</f>
        <v/>
      </c>
      <c r="AA28" s="5">
        <f>IFERROR(IF(N(M28)&gt;W28,(M28-W28)/(W28-Z28),""),"")</f>
        <v/>
      </c>
      <c r="AB28" s="27">
        <f>IFERROR(N28/(N28+O28+P28),"")</f>
        <v/>
      </c>
      <c r="AC28" s="4">
        <f>IF(D28="HELD","HELD: see Holdings sheet",IF(IF(ISNUMBER(R28),Inputs!$B$5&lt;R28,FALSE),"WASH-SALE LOCK until "&amp;TEXT(R28,"m/d"),IF(J28&lt;U28,"BELOW ZONE: wait for 200-day reclaim",IF(J28&gt;V28,"ABOVE ZONE: extended, wait",IF(IF(ISNUMBER(Q28),AND(Q28&gt;Inputs!$B$5,Q28-Inputs!$B$5&lt;=Inputs!$B$16),FALSE),"IN ZONE: earnings soon, wait",IF(N(M28)&lt;=J28,"IN ZONE: analysts see no upside",IF(J28&lt;=W28,"IN ZONE: at/below buy target - research","IN ZONE: research")))))))</f>
        <v/>
      </c>
      <c r="AD28" s="8">
        <f>IFERROR(INDEX('Rank Calc'!$P$5:$P$53,MATCH($A28,'Rank Calc'!$A$5:$A$53,0)),"")</f>
        <v/>
      </c>
      <c r="AE28" s="20" t="inlineStr">
        <is>
          <t>Sold 10/14 @ 162.10 at a loss: do not rebuy before the wash-sale date.</t>
        </is>
      </c>
    </row>
    <row r="29">
      <c r="A29" s="12" t="inlineStr">
        <is>
          <t>SPG</t>
        </is>
      </c>
      <c r="B29" s="12" t="inlineStr">
        <is>
          <t>Simon Property Group</t>
        </is>
      </c>
      <c r="C29" s="12" t="inlineStr">
        <is>
          <t>New industry</t>
        </is>
      </c>
      <c r="D29" s="12" t="inlineStr"/>
      <c r="E29" s="12" t="inlineStr">
        <is>
          <t>A</t>
        </is>
      </c>
      <c r="F29" s="12" t="n"/>
      <c r="G29" s="12" t="inlineStr">
        <is>
          <t>Malls REIT</t>
        </is>
      </c>
      <c r="H29" s="12" t="inlineStr">
        <is>
          <t>FAIR -2% (high)</t>
        </is>
      </c>
      <c r="I29" s="12" t="inlineStr">
        <is>
          <t>STABLE</t>
        </is>
      </c>
      <c r="J29" s="14" t="n">
        <v>215.72</v>
      </c>
      <c r="K29" s="14" t="n">
        <v>207.18</v>
      </c>
      <c r="L29" s="14" t="n">
        <v>205.72</v>
      </c>
      <c r="M29" s="14" t="n">
        <v>228.89</v>
      </c>
      <c r="N29" s="26" t="n">
        <v>7</v>
      </c>
      <c r="O29" s="26" t="n">
        <v>15</v>
      </c>
      <c r="P29" s="26" t="n">
        <v>0</v>
      </c>
      <c r="Q29" s="15" t="n">
        <v>46331</v>
      </c>
      <c r="R29" s="12" t="n"/>
      <c r="S29" s="7">
        <f>J29/L29-1</f>
        <v/>
      </c>
      <c r="T29" s="7">
        <f>J29/K29-1</f>
        <v/>
      </c>
      <c r="U29" s="6">
        <f>L29*(1+Inputs!$B$17)</f>
        <v/>
      </c>
      <c r="V29" s="6">
        <f>L29*(1+Inputs!$B$18)</f>
        <v/>
      </c>
      <c r="W29" s="6">
        <f>L29*(1+Inputs!$B$19)</f>
        <v/>
      </c>
      <c r="X29" s="7">
        <f>J29/W29-1</f>
        <v/>
      </c>
      <c r="Y29" s="7">
        <f>IF(N(M29)&gt;0,M29/W29-1,"")</f>
        <v/>
      </c>
      <c r="Z29" s="6">
        <f>U29</f>
        <v/>
      </c>
      <c r="AA29" s="5">
        <f>IFERROR(IF(N(M29)&gt;W29,(M29-W29)/(W29-Z29),""),"")</f>
        <v/>
      </c>
      <c r="AB29" s="27">
        <f>IFERROR(N29/(N29+O29+P29),"")</f>
        <v/>
      </c>
      <c r="AC29" s="4">
        <f>IF(D29="HELD","HELD: see Holdings sheet",IF(IF(ISNUMBER(R29),Inputs!$B$5&lt;R29,FALSE),"WASH-SALE LOCK until "&amp;TEXT(R29,"m/d"),IF(J29&lt;U29,"BELOW ZONE: wait for 200-day reclaim",IF(J29&gt;V29,"ABOVE ZONE: extended, wait",IF(IF(ISNUMBER(Q29),AND(Q29&gt;Inputs!$B$5,Q29-Inputs!$B$5&lt;=Inputs!$B$16),FALSE),"IN ZONE: earnings soon, wait",IF(N(M29)&lt;=J29,"IN ZONE: analysts see no upside",IF(J29&lt;=W29,"IN ZONE: at/below buy target - research","IN ZONE: research")))))))</f>
        <v/>
      </c>
      <c r="AD29" s="8">
        <f>IFERROR(INDEX('Rank Calc'!$P$5:$P$53,MATCH($A29,'Rank Calc'!$A$5:$A$53,0)),"")</f>
        <v/>
      </c>
      <c r="AE29" s="20" t="inlineStr">
        <is>
          <t>Malls REIT. Only new name already inside the buy zone. Analysts mostly Hold.</t>
        </is>
      </c>
    </row>
    <row r="30">
      <c r="A30" s="12" t="inlineStr">
        <is>
          <t>MNST</t>
        </is>
      </c>
      <c r="B30" s="12" t="inlineStr">
        <is>
          <t>Monster Beverage</t>
        </is>
      </c>
      <c r="C30" s="12" t="inlineStr">
        <is>
          <t>New industry</t>
        </is>
      </c>
      <c r="D30" s="12" t="inlineStr"/>
      <c r="E30" s="12" t="inlineStr">
        <is>
          <t>A</t>
        </is>
      </c>
      <c r="F30" s="12" t="n"/>
      <c r="G30" s="12" t="inlineStr">
        <is>
          <t>Consumer staples</t>
        </is>
      </c>
      <c r="H30" s="12" t="inlineStr">
        <is>
          <t>RICH -10% (med)</t>
        </is>
      </c>
      <c r="I30" s="12" t="inlineStr">
        <is>
          <t>STABLE</t>
        </is>
      </c>
      <c r="J30" s="14" t="n">
        <v>46.35</v>
      </c>
      <c r="K30" s="14" t="n">
        <v>44.75</v>
      </c>
      <c r="L30" s="14" t="n">
        <v>43.04</v>
      </c>
      <c r="M30" s="14" t="n">
        <v>50.69</v>
      </c>
      <c r="N30" s="26" t="n">
        <v>14</v>
      </c>
      <c r="O30" s="26" t="n">
        <v>13</v>
      </c>
      <c r="P30" s="26" t="n">
        <v>1</v>
      </c>
      <c r="Q30" s="15" t="n">
        <v>46331</v>
      </c>
      <c r="R30" s="12" t="n"/>
      <c r="S30" s="7">
        <f>J30/L30-1</f>
        <v/>
      </c>
      <c r="T30" s="7">
        <f>J30/K30-1</f>
        <v/>
      </c>
      <c r="U30" s="6">
        <f>L30*(1+Inputs!$B$17)</f>
        <v/>
      </c>
      <c r="V30" s="6">
        <f>L30*(1+Inputs!$B$18)</f>
        <v/>
      </c>
      <c r="W30" s="6">
        <f>L30*(1+Inputs!$B$19)</f>
        <v/>
      </c>
      <c r="X30" s="7">
        <f>J30/W30-1</f>
        <v/>
      </c>
      <c r="Y30" s="7">
        <f>IF(N(M30)&gt;0,M30/W30-1,"")</f>
        <v/>
      </c>
      <c r="Z30" s="6">
        <f>U30</f>
        <v/>
      </c>
      <c r="AA30" s="5">
        <f>IFERROR(IF(N(M30)&gt;W30,(M30-W30)/(W30-Z30),""),"")</f>
        <v/>
      </c>
      <c r="AB30" s="27">
        <f>IFERROR(N30/(N30+O30+P30),"")</f>
        <v/>
      </c>
      <c r="AC30" s="4">
        <f>IF(D30="HELD","HELD: see Holdings sheet",IF(IF(ISNUMBER(R30),Inputs!$B$5&lt;R30,FALSE),"WASH-SALE LOCK until "&amp;TEXT(R30,"m/d"),IF(J30&lt;U30,"BELOW ZONE: wait for 200-day reclaim",IF(J30&gt;V30,"ABOVE ZONE: extended, wait",IF(IF(ISNUMBER(Q30),AND(Q30&gt;Inputs!$B$5,Q30-Inputs!$B$5&lt;=Inputs!$B$16),FALSE),"IN ZONE: earnings soon, wait",IF(N(M30)&lt;=J30,"IN ZONE: analysts see no upside",IF(J30&lt;=W30,"IN ZONE: at/below buy target - research","IN ZONE: research")))))))</f>
        <v/>
      </c>
      <c r="AD30" s="8">
        <f>IFERROR(INDEX('Rank Calc'!$P$5:$P$53,MATCH($A30,'Rank Calc'!$A$5:$A$53,0)),"")</f>
        <v/>
      </c>
      <c r="AE30" s="20" t="inlineStr">
        <is>
          <t>Consumer staples. Rev +20%, net margin 23%. 2-for-1 split Aug 2026.</t>
        </is>
      </c>
    </row>
    <row r="31">
      <c r="A31" s="12" t="inlineStr">
        <is>
          <t>INCY</t>
        </is>
      </c>
      <c r="B31" s="12" t="inlineStr">
        <is>
          <t>Incyte</t>
        </is>
      </c>
      <c r="C31" s="12" t="inlineStr">
        <is>
          <t>New industry</t>
        </is>
      </c>
      <c r="D31" s="12" t="inlineStr"/>
      <c r="E31" s="12" t="inlineStr">
        <is>
          <t>A+</t>
        </is>
      </c>
      <c r="F31" s="12" t="n"/>
      <c r="G31" s="12" t="inlineStr">
        <is>
          <t>Biotech</t>
        </is>
      </c>
      <c r="H31" s="12" t="inlineStr">
        <is>
          <t>DEEP VALUE +100% (low)</t>
        </is>
      </c>
      <c r="I31" s="12" t="inlineStr">
        <is>
          <t>INNOVATING</t>
        </is>
      </c>
      <c r="J31" s="14" t="n">
        <v>116.8</v>
      </c>
      <c r="K31" s="14" t="n">
        <v>120.62</v>
      </c>
      <c r="L31" s="14" t="n">
        <v>107.99</v>
      </c>
      <c r="M31" s="14" t="n">
        <v>132.78</v>
      </c>
      <c r="N31" s="26" t="n">
        <v>14</v>
      </c>
      <c r="O31" s="26" t="n">
        <v>15</v>
      </c>
      <c r="P31" s="26" t="n">
        <v>2</v>
      </c>
      <c r="Q31" s="15" t="inlineStr">
        <is>
          <t>n/a</t>
        </is>
      </c>
      <c r="R31" s="12" t="n"/>
      <c r="S31" s="7">
        <f>J31/L31-1</f>
        <v/>
      </c>
      <c r="T31" s="7">
        <f>J31/K31-1</f>
        <v/>
      </c>
      <c r="U31" s="6">
        <f>L31*(1+Inputs!$B$17)</f>
        <v/>
      </c>
      <c r="V31" s="6">
        <f>L31*(1+Inputs!$B$18)</f>
        <v/>
      </c>
      <c r="W31" s="6">
        <f>L31*(1+Inputs!$B$19)</f>
        <v/>
      </c>
      <c r="X31" s="7">
        <f>J31/W31-1</f>
        <v/>
      </c>
      <c r="Y31" s="7">
        <f>IF(N(M31)&gt;0,M31/W31-1,"")</f>
        <v/>
      </c>
      <c r="Z31" s="6">
        <f>U31</f>
        <v/>
      </c>
      <c r="AA31" s="5">
        <f>IFERROR(IF(N(M31)&gt;W31,(M31-W31)/(W31-Z31),""),"")</f>
        <v/>
      </c>
      <c r="AB31" s="27">
        <f>IFERROR(N31/(N31+O31+P31),"")</f>
        <v/>
      </c>
      <c r="AC31" s="4">
        <f>IF(D31="HELD","HELD: see Holdings sheet",IF(IF(ISNUMBER(R31),Inputs!$B$5&lt;R31,FALSE),"WASH-SALE LOCK until "&amp;TEXT(R31,"m/d"),IF(J31&lt;U31,"BELOW ZONE: wait for 200-day reclaim",IF(J31&gt;V31,"ABOVE ZONE: extended, wait",IF(IF(ISNUMBER(Q31),AND(Q31&gt;Inputs!$B$5,Q31-Inputs!$B$5&lt;=Inputs!$B$16),FALSE),"IN ZONE: earnings soon, wait",IF(N(M31)&lt;=J31,"IN ZONE: analysts see no upside",IF(J31&lt;=W31,"IN ZONE: at/below buy target - research","IN ZONE: research")))))))</f>
        <v/>
      </c>
      <c r="AD31" s="8">
        <f>IFERROR(INDEX('Rank Calc'!$P$5:$P$53,MATCH($A31,'Rank Calc'!$A$5:$A$53,0)),"")</f>
        <v/>
      </c>
      <c r="AE31" s="20" t="inlineStr">
        <is>
          <t>Biotech. Q3 GAAP loss -$3.86/sh from a one-time $1.23B Vega IPR&amp;D charge; revenue +14%. Analysts split Buy/Hold.</t>
        </is>
      </c>
    </row>
    <row r="32">
      <c r="A32" s="12" t="inlineStr">
        <is>
          <t>ANET</t>
        </is>
      </c>
      <c r="B32" s="12" t="inlineStr">
        <is>
          <t>Arista Networks</t>
        </is>
      </c>
      <c r="C32" s="12" t="inlineStr">
        <is>
          <t>New industry</t>
        </is>
      </c>
      <c r="D32" s="12" t="inlineStr"/>
      <c r="E32" s="12" t="inlineStr">
        <is>
          <t>A+</t>
        </is>
      </c>
      <c r="F32" s="12" t="n"/>
      <c r="G32" s="12" t="inlineStr">
        <is>
          <t>AI networking</t>
        </is>
      </c>
      <c r="H32" s="12" t="inlineStr">
        <is>
          <t>EXPENSIVE -32% (low)</t>
        </is>
      </c>
      <c r="I32" s="12" t="inlineStr">
        <is>
          <t>INNOVATING</t>
        </is>
      </c>
      <c r="J32" s="14" t="n">
        <v>184.22</v>
      </c>
      <c r="K32" s="14" t="n">
        <v>195.57</v>
      </c>
      <c r="L32" s="14" t="n">
        <v>164.96</v>
      </c>
      <c r="M32" s="14" t="n">
        <v>248.54</v>
      </c>
      <c r="N32" s="26" t="n">
        <v>35</v>
      </c>
      <c r="O32" s="26" t="n">
        <v>0</v>
      </c>
      <c r="P32" s="26" t="n">
        <v>0</v>
      </c>
      <c r="Q32" s="15" t="n">
        <v>46329</v>
      </c>
      <c r="R32" s="12" t="n"/>
      <c r="S32" s="7">
        <f>J32/L32-1</f>
        <v/>
      </c>
      <c r="T32" s="7">
        <f>J32/K32-1</f>
        <v/>
      </c>
      <c r="U32" s="6">
        <f>L32*(1+Inputs!$B$17)</f>
        <v/>
      </c>
      <c r="V32" s="6">
        <f>L32*(1+Inputs!$B$18)</f>
        <v/>
      </c>
      <c r="W32" s="6">
        <f>L32*(1+Inputs!$B$19)</f>
        <v/>
      </c>
      <c r="X32" s="7">
        <f>J32/W32-1</f>
        <v/>
      </c>
      <c r="Y32" s="7">
        <f>IF(N(M32)&gt;0,M32/W32-1,"")</f>
        <v/>
      </c>
      <c r="Z32" s="6">
        <f>U32</f>
        <v/>
      </c>
      <c r="AA32" s="5">
        <f>IFERROR(IF(N(M32)&gt;W32,(M32-W32)/(W32-Z32),""),"")</f>
        <v/>
      </c>
      <c r="AB32" s="27">
        <f>IFERROR(N32/(N32+O32+P32),"")</f>
        <v/>
      </c>
      <c r="AC32" s="4">
        <f>IF(D32="HELD","HELD: see Holdings sheet",IF(IF(ISNUMBER(R32),Inputs!$B$5&lt;R32,FALSE),"WASH-SALE LOCK until "&amp;TEXT(R32,"m/d"),IF(J32&lt;U32,"BELOW ZONE: wait for 200-day reclaim",IF(J32&gt;V32,"ABOVE ZONE: extended, wait",IF(IF(ISNUMBER(Q32),AND(Q32&gt;Inputs!$B$5,Q32-Inputs!$B$5&lt;=Inputs!$B$16),FALSE),"IN ZONE: earnings soon, wait",IF(N(M32)&lt;=J32,"IN ZONE: analysts see no upside",IF(J32&lt;=W32,"IN ZONE: at/below buy target - research","IN ZONE: research")))))))</f>
        <v/>
      </c>
      <c r="AD32" s="8">
        <f>IFERROR(INDEX('Rank Calc'!$P$5:$P$53,MATCH($A32,'Rank Calc'!$A$5:$A$53,0)),"")</f>
        <v/>
      </c>
      <c r="AE32" s="20" t="inlineStr">
        <is>
          <t>AI networking. Fell ~18% from its 10/9 record on AI-debt worries. Still tied to AI capex like the chip names.</t>
        </is>
      </c>
    </row>
    <row r="33">
      <c r="A33" s="12" t="inlineStr">
        <is>
          <t>UNP</t>
        </is>
      </c>
      <c r="B33" s="12" t="inlineStr">
        <is>
          <t>Union Pacific</t>
        </is>
      </c>
      <c r="C33" s="12" t="inlineStr">
        <is>
          <t>New industry</t>
        </is>
      </c>
      <c r="D33" s="12" t="inlineStr"/>
      <c r="E33" s="12" t="inlineStr">
        <is>
          <t>A</t>
        </is>
      </c>
      <c r="F33" s="12" t="n"/>
      <c r="G33" s="12" t="inlineStr">
        <is>
          <t>Railroad</t>
        </is>
      </c>
      <c r="H33" s="12" t="inlineStr">
        <is>
          <t>RICH -11% (high)</t>
        </is>
      </c>
      <c r="I33" s="12" t="inlineStr">
        <is>
          <t>AT RISK</t>
        </is>
      </c>
      <c r="J33" s="14" t="n">
        <v>301.93</v>
      </c>
      <c r="K33" s="14" t="n">
        <v>287.39</v>
      </c>
      <c r="L33" s="14" t="n">
        <v>269.98</v>
      </c>
      <c r="M33" s="14" t="n">
        <v>334.65</v>
      </c>
      <c r="N33" s="26" t="n">
        <v>19</v>
      </c>
      <c r="O33" s="26" t="n">
        <v>8</v>
      </c>
      <c r="P33" s="26" t="n">
        <v>1</v>
      </c>
      <c r="Q33" s="15" t="inlineStr">
        <is>
          <t>n/a</t>
        </is>
      </c>
      <c r="R33" s="12" t="n"/>
      <c r="S33" s="7">
        <f>J33/L33-1</f>
        <v/>
      </c>
      <c r="T33" s="7">
        <f>J33/K33-1</f>
        <v/>
      </c>
      <c r="U33" s="6">
        <f>L33*(1+Inputs!$B$17)</f>
        <v/>
      </c>
      <c r="V33" s="6">
        <f>L33*(1+Inputs!$B$18)</f>
        <v/>
      </c>
      <c r="W33" s="6">
        <f>L33*(1+Inputs!$B$19)</f>
        <v/>
      </c>
      <c r="X33" s="7">
        <f>J33/W33-1</f>
        <v/>
      </c>
      <c r="Y33" s="7">
        <f>IF(N(M33)&gt;0,M33/W33-1,"")</f>
        <v/>
      </c>
      <c r="Z33" s="6">
        <f>U33</f>
        <v/>
      </c>
      <c r="AA33" s="5">
        <f>IFERROR(IF(N(M33)&gt;W33,(M33-W33)/(W33-Z33),""),"")</f>
        <v/>
      </c>
      <c r="AB33" s="27">
        <f>IFERROR(N33/(N33+O33+P33),"")</f>
        <v/>
      </c>
      <c r="AC33" s="4">
        <f>IF(D33="HELD","HELD: see Holdings sheet",IF(IF(ISNUMBER(R33),Inputs!$B$5&lt;R33,FALSE),"WASH-SALE LOCK until "&amp;TEXT(R33,"m/d"),IF(J33&lt;U33,"BELOW ZONE: wait for 200-day reclaim",IF(J33&gt;V33,"ABOVE ZONE: extended, wait",IF(IF(ISNUMBER(Q33),AND(Q33&gt;Inputs!$B$5,Q33-Inputs!$B$5&lt;=Inputs!$B$16),FALSE),"IN ZONE: earnings soon, wait",IF(N(M33)&lt;=J33,"IN ZONE: analysts see no upside",IF(J33&lt;=W33,"IN ZONE: at/below buy target - research","IN ZONE: research")))))))</f>
        <v/>
      </c>
      <c r="AD33" s="8">
        <f>IFERROR(INDEX('Rank Calc'!$P$5:$P$53,MATCH($A33,'Rank Calc'!$A$5:$A$53,0)),"")</f>
        <v/>
      </c>
      <c r="AE33" s="20" t="inlineStr">
        <is>
          <t>Railroad. Norfolk Southern merger under STB review, close expected 2H 2027. Disruption quant flags AT RISK: check why.</t>
        </is>
      </c>
    </row>
    <row r="34">
      <c r="A34" s="12" t="inlineStr">
        <is>
          <t>VRTX</t>
        </is>
      </c>
      <c r="B34" s="12" t="inlineStr">
        <is>
          <t>Vertex Pharmaceuticals</t>
        </is>
      </c>
      <c r="C34" s="12" t="inlineStr">
        <is>
          <t>New industry</t>
        </is>
      </c>
      <c r="D34" s="12" t="inlineStr"/>
      <c r="E34" s="12" t="inlineStr">
        <is>
          <t>A</t>
        </is>
      </c>
      <c r="F34" s="12" t="n"/>
      <c r="G34" s="12" t="inlineStr">
        <is>
          <t>Biotech</t>
        </is>
      </c>
      <c r="H34" s="12" t="inlineStr">
        <is>
          <t>RICH -12% (high)</t>
        </is>
      </c>
      <c r="I34" s="12" t="inlineStr">
        <is>
          <t>INNOVATING</t>
        </is>
      </c>
      <c r="J34" s="14" t="n">
        <v>540</v>
      </c>
      <c r="K34" s="14" t="n">
        <v>522.64</v>
      </c>
      <c r="L34" s="14" t="n">
        <v>478.62</v>
      </c>
      <c r="M34" s="14" t="n">
        <v>575.96</v>
      </c>
      <c r="N34" s="26" t="n">
        <v>27</v>
      </c>
      <c r="O34" s="26" t="n">
        <v>6</v>
      </c>
      <c r="P34" s="26" t="n">
        <v>2</v>
      </c>
      <c r="Q34" s="15" t="n">
        <v>46328</v>
      </c>
      <c r="R34" s="12" t="n"/>
      <c r="S34" s="7">
        <f>J34/L34-1</f>
        <v/>
      </c>
      <c r="T34" s="7">
        <f>J34/K34-1</f>
        <v/>
      </c>
      <c r="U34" s="6">
        <f>L34*(1+Inputs!$B$17)</f>
        <v/>
      </c>
      <c r="V34" s="6">
        <f>L34*(1+Inputs!$B$18)</f>
        <v/>
      </c>
      <c r="W34" s="6">
        <f>L34*(1+Inputs!$B$19)</f>
        <v/>
      </c>
      <c r="X34" s="7">
        <f>J34/W34-1</f>
        <v/>
      </c>
      <c r="Y34" s="7">
        <f>IF(N(M34)&gt;0,M34/W34-1,"")</f>
        <v/>
      </c>
      <c r="Z34" s="6">
        <f>U34</f>
        <v/>
      </c>
      <c r="AA34" s="5">
        <f>IFERROR(IF(N(M34)&gt;W34,(M34-W34)/(W34-Z34),""),"")</f>
        <v/>
      </c>
      <c r="AB34" s="27">
        <f>IFERROR(N34/(N34+O34+P34),"")</f>
        <v/>
      </c>
      <c r="AC34" s="4">
        <f>IF(D34="HELD","HELD: see Holdings sheet",IF(IF(ISNUMBER(R34),Inputs!$B$5&lt;R34,FALSE),"WASH-SALE LOCK until "&amp;TEXT(R34,"m/d"),IF(J34&lt;U34,"BELOW ZONE: wait for 200-day reclaim",IF(J34&gt;V34,"ABOVE ZONE: extended, wait",IF(IF(ISNUMBER(Q34),AND(Q34&gt;Inputs!$B$5,Q34-Inputs!$B$5&lt;=Inputs!$B$16),FALSE),"IN ZONE: earnings soon, wait",IF(N(M34)&lt;=J34,"IN ZONE: analysts see no upside",IF(J34&lt;=W34,"IN ZONE: at/below buy target - research","IN ZONE: research")))))))</f>
        <v/>
      </c>
      <c r="AD34" s="8">
        <f>IFERROR(INDEX('Rank Calc'!$P$5:$P$53,MATCH($A34,'Rank Calc'!$A$5:$A$53,0)),"")</f>
        <v/>
      </c>
      <c r="AE34" s="20" t="inlineStr">
        <is>
          <t>Biotech. Cystic fibrosis franchise; $10B Crinetics deal pending.</t>
        </is>
      </c>
    </row>
    <row r="35">
      <c r="A35" s="12" t="inlineStr">
        <is>
          <t>CPAY</t>
        </is>
      </c>
      <c r="B35" s="12" t="inlineStr">
        <is>
          <t>Corpay</t>
        </is>
      </c>
      <c r="C35" s="12" t="inlineStr">
        <is>
          <t>New industry</t>
        </is>
      </c>
      <c r="D35" s="12" t="inlineStr"/>
      <c r="E35" s="12" t="inlineStr">
        <is>
          <t>A</t>
        </is>
      </c>
      <c r="F35" s="12" t="n"/>
      <c r="G35" s="12" t="inlineStr">
        <is>
          <t>Payments</t>
        </is>
      </c>
      <c r="H35" s="12" t="inlineStr">
        <is>
          <t>n/a</t>
        </is>
      </c>
      <c r="I35" s="12" t="inlineStr">
        <is>
          <t>n/a</t>
        </is>
      </c>
      <c r="J35" s="14" t="n">
        <v>397.97</v>
      </c>
      <c r="K35" s="14" t="n">
        <v>403.45</v>
      </c>
      <c r="L35" s="14" t="n">
        <v>355.07</v>
      </c>
      <c r="M35" s="14" t="n">
        <v>458.81</v>
      </c>
      <c r="N35" s="26" t="n">
        <v>16</v>
      </c>
      <c r="O35" s="26" t="n">
        <v>4</v>
      </c>
      <c r="P35" s="26" t="n">
        <v>0</v>
      </c>
      <c r="Q35" s="15" t="n">
        <v>46330</v>
      </c>
      <c r="R35" s="12" t="n"/>
      <c r="S35" s="7">
        <f>J35/L35-1</f>
        <v/>
      </c>
      <c r="T35" s="7">
        <f>J35/K35-1</f>
        <v/>
      </c>
      <c r="U35" s="6">
        <f>L35*(1+Inputs!$B$17)</f>
        <v/>
      </c>
      <c r="V35" s="6">
        <f>L35*(1+Inputs!$B$18)</f>
        <v/>
      </c>
      <c r="W35" s="6">
        <f>L35*(1+Inputs!$B$19)</f>
        <v/>
      </c>
      <c r="X35" s="7">
        <f>J35/W35-1</f>
        <v/>
      </c>
      <c r="Y35" s="7">
        <f>IF(N(M35)&gt;0,M35/W35-1,"")</f>
        <v/>
      </c>
      <c r="Z35" s="6">
        <f>U35</f>
        <v/>
      </c>
      <c r="AA35" s="5">
        <f>IFERROR(IF(N(M35)&gt;W35,(M35-W35)/(W35-Z35),""),"")</f>
        <v/>
      </c>
      <c r="AB35" s="27">
        <f>IFERROR(N35/(N35+O35+P35),"")</f>
        <v/>
      </c>
      <c r="AC35" s="4">
        <f>IF(D35="HELD","HELD: see Holdings sheet",IF(IF(ISNUMBER(R35),Inputs!$B$5&lt;R35,FALSE),"WASH-SALE LOCK until "&amp;TEXT(R35,"m/d"),IF(J35&lt;U35,"BELOW ZONE: wait for 200-day reclaim",IF(J35&gt;V35,"ABOVE ZONE: extended, wait",IF(IF(ISNUMBER(Q35),AND(Q35&gt;Inputs!$B$5,Q35-Inputs!$B$5&lt;=Inputs!$B$16),FALSE),"IN ZONE: earnings soon, wait",IF(N(M35)&lt;=J35,"IN ZONE: analysts see no upside",IF(J35&lt;=W35,"IN ZONE: at/below buy target - research","IN ZONE: research")))))))</f>
        <v/>
      </c>
      <c r="AD35" s="8">
        <f>IFERROR(INDEX('Rank Calc'!$P$5:$P$53,MATCH($A35,'Rank Calc'!$A$5:$A$53,0)),"")</f>
        <v/>
      </c>
      <c r="AE35" s="20" t="inlineStr">
        <is>
          <t>Payments. Rev +21%, raised 2026 guidance in Aug.</t>
        </is>
      </c>
    </row>
    <row r="36">
      <c r="A36" s="12" t="inlineStr">
        <is>
          <t>AFRM</t>
        </is>
      </c>
      <c r="B36" s="12" t="inlineStr">
        <is>
          <t>Affirm</t>
        </is>
      </c>
      <c r="C36" s="12" t="inlineStr">
        <is>
          <t>New industry</t>
        </is>
      </c>
      <c r="D36" s="12" t="inlineStr"/>
      <c r="E36" s="12" t="inlineStr">
        <is>
          <t>A+</t>
        </is>
      </c>
      <c r="F36" s="12" t="n"/>
      <c r="G36" s="12" t="inlineStr">
        <is>
          <t>Payments / BNPL</t>
        </is>
      </c>
      <c r="H36" s="12" t="inlineStr">
        <is>
          <t>n/a</t>
        </is>
      </c>
      <c r="I36" s="12" t="inlineStr">
        <is>
          <t>DISRUPTOR</t>
        </is>
      </c>
      <c r="J36" s="14" t="n">
        <v>74.84</v>
      </c>
      <c r="K36" s="14" t="n">
        <v>73.08</v>
      </c>
      <c r="L36" s="14" t="n">
        <v>66.51000000000001</v>
      </c>
      <c r="M36" s="14" t="n">
        <v>99.18000000000001</v>
      </c>
      <c r="N36" s="26" t="n">
        <v>32</v>
      </c>
      <c r="O36" s="26" t="n">
        <v>7</v>
      </c>
      <c r="P36" s="26" t="n">
        <v>0</v>
      </c>
      <c r="Q36" s="15" t="n">
        <v>46331</v>
      </c>
      <c r="R36" s="15" t="n">
        <v>46340</v>
      </c>
      <c r="S36" s="7">
        <f>J36/L36-1</f>
        <v/>
      </c>
      <c r="T36" s="7">
        <f>J36/K36-1</f>
        <v/>
      </c>
      <c r="U36" s="6">
        <f>L36*(1+Inputs!$B$17)</f>
        <v/>
      </c>
      <c r="V36" s="6">
        <f>L36*(1+Inputs!$B$18)</f>
        <v/>
      </c>
      <c r="W36" s="6">
        <f>L36*(1+Inputs!$B$19)</f>
        <v/>
      </c>
      <c r="X36" s="7">
        <f>J36/W36-1</f>
        <v/>
      </c>
      <c r="Y36" s="7">
        <f>IF(N(M36)&gt;0,M36/W36-1,"")</f>
        <v/>
      </c>
      <c r="Z36" s="6">
        <f>U36</f>
        <v/>
      </c>
      <c r="AA36" s="5">
        <f>IFERROR(IF(N(M36)&gt;W36,(M36-W36)/(W36-Z36),""),"")</f>
        <v/>
      </c>
      <c r="AB36" s="27">
        <f>IFERROR(N36/(N36+O36+P36),"")</f>
        <v/>
      </c>
      <c r="AC36" s="4">
        <f>IF(D36="HELD","HELD: see Holdings sheet",IF(IF(ISNUMBER(R36),Inputs!$B$5&lt;R36,FALSE),"WASH-SALE LOCK until "&amp;TEXT(R36,"m/d"),IF(J36&lt;U36,"BELOW ZONE: wait for 200-day reclaim",IF(J36&gt;V36,"ABOVE ZONE: extended, wait",IF(IF(ISNUMBER(Q36),AND(Q36&gt;Inputs!$B$5,Q36-Inputs!$B$5&lt;=Inputs!$B$16),FALSE),"IN ZONE: earnings soon, wait",IF(N(M36)&lt;=J36,"IN ZONE: analysts see no upside",IF(J36&lt;=W36,"IN ZONE: at/below buy target - research","IN ZONE: research")))))))</f>
        <v/>
      </c>
      <c r="AD36" s="8">
        <f>IFERROR(INDEX('Rank Calc'!$P$5:$P$53,MATCH($A36,'Rank Calc'!$A$5:$A$53,0)),"")</f>
        <v/>
      </c>
      <c r="AE36" s="20" t="inlineStr">
        <is>
          <t>Payments / BNPL. Sold at a loss 10/14: wash-sale lock to 11/14. Missed EPS the last 3 quarters.</t>
        </is>
      </c>
    </row>
    <row r="37">
      <c r="A37" s="12" t="inlineStr">
        <is>
          <t>AAPL</t>
        </is>
      </c>
      <c r="B37" s="12" t="inlineStr">
        <is>
          <t>Apple</t>
        </is>
      </c>
      <c r="C37" s="12" t="inlineStr">
        <is>
          <t>New industry</t>
        </is>
      </c>
      <c r="D37" s="12" t="inlineStr"/>
      <c r="E37" s="12" t="inlineStr">
        <is>
          <t>A</t>
        </is>
      </c>
      <c r="F37" s="12" t="n"/>
      <c r="G37" s="12" t="inlineStr">
        <is>
          <t>Consumer tech</t>
        </is>
      </c>
      <c r="H37" s="12" t="inlineStr">
        <is>
          <t>EXPENSIVE -36% (high)</t>
        </is>
      </c>
      <c r="I37" s="12" t="inlineStr">
        <is>
          <t>INNOVATING</t>
        </is>
      </c>
      <c r="J37" s="14" t="n">
        <v>348.91</v>
      </c>
      <c r="K37" s="14" t="n">
        <v>332.27</v>
      </c>
      <c r="L37" s="14" t="n">
        <v>296.11</v>
      </c>
      <c r="M37" s="14" t="n">
        <v>334.65</v>
      </c>
      <c r="N37" s="26" t="n">
        <v>27</v>
      </c>
      <c r="O37" s="26" t="n">
        <v>14</v>
      </c>
      <c r="P37" s="26" t="n">
        <v>6</v>
      </c>
      <c r="Q37" s="15" t="n">
        <v>46328</v>
      </c>
      <c r="R37" s="12" t="n"/>
      <c r="S37" s="7">
        <f>J37/L37-1</f>
        <v/>
      </c>
      <c r="T37" s="7">
        <f>J37/K37-1</f>
        <v/>
      </c>
      <c r="U37" s="6">
        <f>L37*(1+Inputs!$B$17)</f>
        <v/>
      </c>
      <c r="V37" s="6">
        <f>L37*(1+Inputs!$B$18)</f>
        <v/>
      </c>
      <c r="W37" s="6">
        <f>L37*(1+Inputs!$B$19)</f>
        <v/>
      </c>
      <c r="X37" s="7">
        <f>J37/W37-1</f>
        <v/>
      </c>
      <c r="Y37" s="7">
        <f>IF(N(M37)&gt;0,M37/W37-1,"")</f>
        <v/>
      </c>
      <c r="Z37" s="6">
        <f>U37</f>
        <v/>
      </c>
      <c r="AA37" s="5">
        <f>IFERROR(IF(N(M37)&gt;W37,(M37-W37)/(W37-Z37),""),"")</f>
        <v/>
      </c>
      <c r="AB37" s="27">
        <f>IFERROR(N37/(N37+O37+P37),"")</f>
        <v/>
      </c>
      <c r="AC37" s="4">
        <f>IF(D37="HELD","HELD: see Holdings sheet",IF(IF(ISNUMBER(R37),Inputs!$B$5&lt;R37,FALSE),"WASH-SALE LOCK until "&amp;TEXT(R37,"m/d"),IF(J37&lt;U37,"BELOW ZONE: wait for 200-day reclaim",IF(J37&gt;V37,"ABOVE ZONE: extended, wait",IF(IF(ISNUMBER(Q37),AND(Q37&gt;Inputs!$B$5,Q37-Inputs!$B$5&lt;=Inputs!$B$16),FALSE),"IN ZONE: earnings soon, wait",IF(N(M37)&lt;=J37,"IN ZONE: analysts see no upside",IF(J37&lt;=W37,"IN ZONE: at/below buy target - research","IN ZONE: research")))))))</f>
        <v/>
      </c>
      <c r="AD37" s="8">
        <f>IFERROR(INDEX('Rank Calc'!$P$5:$P$53,MATCH($A37,'Rank Calc'!$A$5:$A$53,0)),"")</f>
        <v/>
      </c>
      <c r="AE37" s="20" t="inlineStr">
        <is>
          <t>Consumer tech. Analyst mean target is BELOW price.</t>
        </is>
      </c>
    </row>
    <row r="38">
      <c r="A38" s="12" t="inlineStr">
        <is>
          <t>MA</t>
        </is>
      </c>
      <c r="B38" s="12" t="inlineStr">
        <is>
          <t>Mastercard</t>
        </is>
      </c>
      <c r="C38" s="12" t="inlineStr">
        <is>
          <t>New industry</t>
        </is>
      </c>
      <c r="D38" s="12" t="inlineStr"/>
      <c r="E38" s="12" t="inlineStr">
        <is>
          <t>A</t>
        </is>
      </c>
      <c r="F38" s="12" t="n"/>
      <c r="G38" s="12" t="inlineStr">
        <is>
          <t>Payments</t>
        </is>
      </c>
      <c r="H38" s="12" t="inlineStr">
        <is>
          <t>FAIR +4% (high)</t>
        </is>
      </c>
      <c r="I38" s="12" t="inlineStr">
        <is>
          <t>STABLE</t>
        </is>
      </c>
      <c r="J38" s="14" t="n">
        <v>635.7</v>
      </c>
      <c r="K38" s="14" t="n">
        <v>584.9400000000001</v>
      </c>
      <c r="L38" s="14" t="n">
        <v>535.15</v>
      </c>
      <c r="M38" s="14" t="n">
        <v>695.83</v>
      </c>
      <c r="N38" s="26" t="n">
        <v>39</v>
      </c>
      <c r="O38" s="26" t="n">
        <v>4</v>
      </c>
      <c r="P38" s="26" t="n">
        <v>1</v>
      </c>
      <c r="Q38" s="15" t="inlineStr">
        <is>
          <t>n/a</t>
        </is>
      </c>
      <c r="R38" s="12" t="n"/>
      <c r="S38" s="7">
        <f>J38/L38-1</f>
        <v/>
      </c>
      <c r="T38" s="7">
        <f>J38/K38-1</f>
        <v/>
      </c>
      <c r="U38" s="6">
        <f>L38*(1+Inputs!$B$17)</f>
        <v/>
      </c>
      <c r="V38" s="6">
        <f>L38*(1+Inputs!$B$18)</f>
        <v/>
      </c>
      <c r="W38" s="6">
        <f>L38*(1+Inputs!$B$19)</f>
        <v/>
      </c>
      <c r="X38" s="7">
        <f>J38/W38-1</f>
        <v/>
      </c>
      <c r="Y38" s="7">
        <f>IF(N(M38)&gt;0,M38/W38-1,"")</f>
        <v/>
      </c>
      <c r="Z38" s="6">
        <f>U38</f>
        <v/>
      </c>
      <c r="AA38" s="5">
        <f>IFERROR(IF(N(M38)&gt;W38,(M38-W38)/(W38-Z38),""),"")</f>
        <v/>
      </c>
      <c r="AB38" s="27">
        <f>IFERROR(N38/(N38+O38+P38),"")</f>
        <v/>
      </c>
      <c r="AC38" s="4">
        <f>IF(D38="HELD","HELD: see Holdings sheet",IF(IF(ISNUMBER(R38),Inputs!$B$5&lt;R38,FALSE),"WASH-SALE LOCK until "&amp;TEXT(R38,"m/d"),IF(J38&lt;U38,"BELOW ZONE: wait for 200-day reclaim",IF(J38&gt;V38,"ABOVE ZONE: extended, wait",IF(IF(ISNUMBER(Q38),AND(Q38&gt;Inputs!$B$5,Q38-Inputs!$B$5&lt;=Inputs!$B$16),FALSE),"IN ZONE: earnings soon, wait",IF(N(M38)&lt;=J38,"IN ZONE: analysts see no upside",IF(J38&lt;=W38,"IN ZONE: at/below buy target - research","IN ZONE: research")))))))</f>
        <v/>
      </c>
      <c r="AD38" s="8">
        <f>IFERROR(INDEX('Rank Calc'!$P$5:$P$53,MATCH($A38,'Rank Calc'!$A$5:$A$53,0)),"")</f>
        <v/>
      </c>
      <c r="AE38" s="20" t="inlineStr">
        <is>
          <t>Payments. Q3 beat (adj EPS $5.31 vs $5.15, rev +14%). Near record high: 19% above its 200-day.</t>
        </is>
      </c>
    </row>
    <row r="40">
      <c r="A40" s="21" t="inlineStr">
        <is>
          <t>COUNT</t>
        </is>
      </c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>
        <f>COUNTIF(AC5:AC38,"IN ZONE*")&amp;" in zone, "&amp;COUNTIF(AC5:AC38,"BELOW*")&amp;" below, "&amp;COUNTIF(AC5:AC38,"ABOVE*")&amp;" above"</f>
        <v/>
      </c>
      <c r="AD40" s="21" t="n"/>
      <c r="AE40" s="21" t="n"/>
    </row>
  </sheetData>
  <autoFilter ref="A4:AE38"/>
  <conditionalFormatting sqref="AC5:AC38">
    <cfRule type="expression" priority="1" dxfId="2">
      <formula>LEFT(AC5,7)="IN ZONE"</formula>
    </cfRule>
    <cfRule type="expression" priority="2" dxfId="0">
      <formula>OR(LEFT(AC5,4)="WASH",ISNUMBER(SEARCH("earnings",AC5)),ISNUMBER(SEARCH("no upside",AC5)))</formula>
    </cfRule>
    <cfRule type="expression" priority="3" dxfId="1">
      <formula>LEFT(AC5,5)="BELOW"</formula>
    </cfRule>
  </conditionalFormatting>
  <conditionalFormatting sqref="I5:I38">
    <cfRule type="cellIs" priority="4" operator="equal" dxfId="0">
      <formula>"AT RISK"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95" customWidth="1" min="3" max="3"/>
  </cols>
  <sheetData>
    <row r="1">
      <c r="A1" s="1" t="inlineStr">
        <is>
          <t>Joint Portfolio Tracker - Assumptions</t>
        </is>
      </c>
    </row>
    <row r="2">
      <c r="A2" t="inlineStr">
        <is>
          <t>Blue on yellow = input. Change any of these and the Holdings sheet recalculates.</t>
        </is>
      </c>
    </row>
    <row r="4">
      <c r="A4" s="28" t="inlineStr">
        <is>
          <t>Assumption</t>
        </is>
      </c>
      <c r="B4" s="28" t="inlineStr">
        <is>
          <t>Value</t>
        </is>
      </c>
      <c r="C4" s="28" t="inlineStr">
        <is>
          <t>What it does</t>
        </is>
      </c>
    </row>
    <row r="5">
      <c r="A5" t="inlineStr">
        <is>
          <t>As-of date (prices)</t>
        </is>
      </c>
      <c r="B5" s="15" t="n">
        <v>46324</v>
      </c>
      <c r="C5" t="inlineStr">
        <is>
          <t>Date of the prices in the Price column (see the Holdings header).</t>
        </is>
      </c>
    </row>
    <row r="6">
      <c r="A6" t="inlineStr">
        <is>
          <t>Price to use</t>
        </is>
      </c>
      <c r="B6" s="12" t="inlineStr">
        <is>
          <t>Price</t>
        </is>
      </c>
      <c r="C6" t="inlineStr">
        <is>
          <t>Price or After-hours. After-hours falls back to Price when blank.</t>
        </is>
      </c>
    </row>
    <row r="7">
      <c r="A7" t="inlineStr">
        <is>
          <t>Trim 1 trigger (% of final target)</t>
        </is>
      </c>
      <c r="B7" s="29" t="n">
        <v>1</v>
      </c>
      <c r="C7" t="inlineStr">
        <is>
          <t>Sell target 1 = final target x this. 100% = sell at the target.</t>
        </is>
      </c>
    </row>
    <row r="8">
      <c r="A8" t="inlineStr">
        <is>
          <t>Trim 2 stretch above target</t>
        </is>
      </c>
      <c r="B8" s="29" t="n">
        <v>0.15</v>
      </c>
      <c r="C8" t="inlineStr">
        <is>
          <t>Sell target 2 = final target x (1 + this).</t>
        </is>
      </c>
    </row>
    <row r="9">
      <c r="A9" t="inlineStr">
        <is>
          <t>Shares sold at each trim</t>
        </is>
      </c>
      <c r="B9" s="29" t="n">
        <v>0.3333333333333333</v>
      </c>
      <c r="C9" t="inlineStr">
        <is>
          <t>Fraction of the position sold at T1 and again at T2. Last third rides the trail.</t>
        </is>
      </c>
    </row>
    <row r="10">
      <c r="A10" t="inlineStr">
        <is>
          <t>Support buffer below 60-day low</t>
        </is>
      </c>
      <c r="B10" s="30" t="n">
        <v>0.01</v>
      </c>
      <c r="C10" t="inlineStr">
        <is>
          <t>Review level sits this far under the 60-day low.</t>
        </is>
      </c>
    </row>
    <row r="11">
      <c r="A11" t="inlineStr">
        <is>
          <t>Max loss from cost - stocks</t>
        </is>
      </c>
      <c r="B11" s="29" t="n">
        <v>0.25</v>
      </c>
      <c r="C11" t="inlineStr">
        <is>
          <t>Review level never sits lower than cost x (1 - this).</t>
        </is>
      </c>
    </row>
    <row r="12">
      <c r="A12" t="inlineStr">
        <is>
          <t>Max loss from cost - leveraged ETFs</t>
        </is>
      </c>
      <c r="B12" s="29" t="n">
        <v>0.3</v>
      </c>
      <c r="C12" t="inlineStr">
        <is>
          <t>Same, for 2x/3x ETFs.</t>
        </is>
      </c>
    </row>
    <row r="13">
      <c r="A13" t="inlineStr">
        <is>
          <t>Trailing stop %</t>
        </is>
      </c>
      <c r="B13" s="29" t="n">
        <v>0.15</v>
      </c>
      <c r="C13" t="inlineStr">
        <is>
          <t>Trail = 60-day high x (1 - this), floored at cost, once price &gt;= cost / (1 - this).</t>
        </is>
      </c>
    </row>
    <row r="14">
      <c r="A14" t="inlineStr">
        <is>
          <t>Position cap - stocks (% of portfolio)</t>
        </is>
      </c>
      <c r="B14" s="29" t="n">
        <v>0.15</v>
      </c>
      <c r="C14" t="inlineStr">
        <is>
          <t>Flags OVERWEIGHT above this.</t>
        </is>
      </c>
    </row>
    <row r="15">
      <c r="A15" t="inlineStr">
        <is>
          <t>Position cap - leveraged ETFs</t>
        </is>
      </c>
      <c r="B15" s="29" t="n">
        <v>0.05</v>
      </c>
      <c r="C15" t="inlineStr">
        <is>
          <t>Leveraged ETFs lose value in choppy markets; keep them small.</t>
        </is>
      </c>
    </row>
    <row r="16">
      <c r="A16" t="inlineStr">
        <is>
          <t>Earnings warning window (days)</t>
        </is>
      </c>
      <c r="B16" s="26" t="n">
        <v>7</v>
      </c>
      <c r="C16" t="inlineStr">
        <is>
          <t>Flags a holding reporting within this many days.</t>
        </is>
      </c>
    </row>
    <row r="17">
      <c r="A17" t="inlineStr">
        <is>
          <t>Watchlist: buy zone low vs 200-day</t>
        </is>
      </c>
      <c r="B17" s="29" t="n">
        <v>-0.08</v>
      </c>
      <c r="C17" t="inlineStr">
        <is>
          <t>Bottom of the buy zone. Below it the 200-day has failed: wait for a reclaim.</t>
        </is>
      </c>
    </row>
    <row r="18">
      <c r="A18" t="inlineStr">
        <is>
          <t>Watchlist: buy zone high vs 200-day</t>
        </is>
      </c>
      <c r="B18" s="29" t="n">
        <v>0.05</v>
      </c>
      <c r="C18" t="inlineStr">
        <is>
          <t>Top of the buy zone. Above it the name is extended: wait.</t>
        </is>
      </c>
    </row>
    <row r="19">
      <c r="A19" t="inlineStr">
        <is>
          <t>Watchlist: entry vs 200-day</t>
        </is>
      </c>
      <c r="B19" s="29" t="n">
        <v>0</v>
      </c>
      <c r="C19" t="inlineStr">
        <is>
          <t>Buy target = 200-day SMA x (1 + this). 0% = buy at the line.</t>
        </is>
      </c>
    </row>
    <row r="20">
      <c r="A20" t="inlineStr">
        <is>
          <t>Rank weight: expected growth (upside to target)</t>
        </is>
      </c>
      <c r="B20" s="29" t="n">
        <v>0.4</v>
      </c>
      <c r="C20" t="inlineStr">
        <is>
          <t>Share of the opportunity score from upside to the price target.</t>
        </is>
      </c>
    </row>
    <row r="21">
      <c r="A21" t="inlineStr">
        <is>
          <t>Rank weight: entry price (reward : risk now)</t>
        </is>
      </c>
      <c r="B21" s="29" t="n">
        <v>0.35</v>
      </c>
      <c r="C21" t="inlineStr">
        <is>
          <t>Share from upside vs. room down to the review level at today's price.</t>
        </is>
      </c>
    </row>
    <row r="22">
      <c r="A22" t="inlineStr">
        <is>
          <t>Rank weight: timing (pre-breakout chart setup)</t>
        </is>
      </c>
      <c r="B22" s="29" t="n">
        <v>0.25</v>
      </c>
      <c r="C22" t="inlineStr">
        <is>
          <t>Share from the 0-100 pre-breakout score (backtested over ~3 months).</t>
        </is>
      </c>
    </row>
    <row r="23">
      <c r="A23" t="inlineStr">
        <is>
          <t>Rank penalty: LOW target agreement</t>
        </is>
      </c>
      <c r="B23" s="29" t="n">
        <v>0.15</v>
      </c>
      <c r="C23" t="inlineStr">
        <is>
          <t>Score cut when the target methods disagree a lot.</t>
        </is>
      </c>
    </row>
    <row r="24">
      <c r="A24" t="inlineStr">
        <is>
          <t>Rank: setup score when not scored</t>
        </is>
      </c>
      <c r="B24" s="26" t="n">
        <v>50</v>
      </c>
      <c r="C24" t="inlineStr">
        <is>
          <t>Neutral value for a name with no chart-setup score yet.</t>
        </is>
      </c>
    </row>
  </sheetData>
  <dataValidations count="1">
    <dataValidation sqref="B6" showDropDown="0" showInputMessage="0" showErrorMessage="0" allowBlank="0" type="list">
      <formula1>"Price,After-hours"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8" customWidth="1" min="7" max="7"/>
    <col width="34" customWidth="1" min="8" max="8"/>
    <col width="8" customWidth="1" min="9" max="9"/>
    <col width="9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6" customWidth="1" min="16" max="16"/>
  </cols>
  <sheetData>
    <row r="1">
      <c r="A1" s="31" t="inlineStr">
        <is>
          <t>Rank Calc - every number here is a formula except the blue setup score</t>
        </is>
      </c>
    </row>
    <row r="2">
      <c r="A2" t="inlineStr">
        <is>
          <t>Score = growth weight x percentile of upside + entry weight x percentile of reward:risk at today's price + timing weight x pre-breakout score/100, x (1 - penalty) when target agreement is LOW.</t>
        </is>
      </c>
    </row>
    <row r="4">
      <c r="A4" s="32" t="inlineStr">
        <is>
          <t>Symbol</t>
        </is>
      </c>
      <c r="B4" s="2" t="inlineStr">
        <is>
          <t>Source</t>
        </is>
      </c>
      <c r="C4" s="2" t="inlineStr">
        <is>
          <t>Price</t>
        </is>
      </c>
      <c r="D4" s="2" t="inlineStr">
        <is>
          <t>Target</t>
        </is>
      </c>
      <c r="E4" s="2" t="inlineStr">
        <is>
          <t>Review Level</t>
        </is>
      </c>
      <c r="F4" s="2" t="inlineStr">
        <is>
          <t>Agreement</t>
        </is>
      </c>
      <c r="G4" s="32" t="inlineStr">
        <is>
          <t>Setup Score</t>
        </is>
      </c>
      <c r="H4" s="2" t="inlineStr">
        <is>
          <t>Status</t>
        </is>
      </c>
      <c r="I4" s="2" t="inlineStr">
        <is>
          <t>Upside</t>
        </is>
      </c>
      <c r="J4" s="2" t="inlineStr">
        <is>
          <t>Room to Review</t>
        </is>
      </c>
      <c r="K4" s="2" t="inlineStr">
        <is>
          <t>Reward : Risk</t>
        </is>
      </c>
      <c r="L4" s="2" t="inlineStr">
        <is>
          <t>Growth pct</t>
        </is>
      </c>
      <c r="M4" s="2" t="inlineStr">
        <is>
          <t>Entry pct</t>
        </is>
      </c>
      <c r="N4" s="2" t="inlineStr">
        <is>
          <t>Timing</t>
        </is>
      </c>
      <c r="O4" s="2" t="inlineStr">
        <is>
          <t>SCORE</t>
        </is>
      </c>
      <c r="P4" s="2" t="inlineStr">
        <is>
          <t>RANK</t>
        </is>
      </c>
    </row>
    <row r="5">
      <c r="A5" s="20" t="inlineStr">
        <is>
          <t>META</t>
        </is>
      </c>
      <c r="B5" t="inlineStr">
        <is>
          <t>Held</t>
        </is>
      </c>
      <c r="C5" s="33">
        <f>Holdings!V6</f>
        <v/>
      </c>
      <c r="D5" s="33">
        <f>Holdings!Q6</f>
        <v/>
      </c>
      <c r="E5" s="33">
        <f>Holdings!AK6</f>
        <v/>
      </c>
      <c r="F5">
        <f>Holdings!R6</f>
        <v/>
      </c>
      <c r="G5" s="34" t="n">
        <v>29</v>
      </c>
      <c r="H5">
        <f>Holdings!AO6</f>
        <v/>
      </c>
      <c r="I5" s="35">
        <f>IFERROR(D5/C5-1,0)</f>
        <v/>
      </c>
      <c r="J5" s="35">
        <f>IFERROR(1-E5/C5,0)</f>
        <v/>
      </c>
      <c r="K5" s="36">
        <f>IF(J5&lt;=0,0,MAX(I5,0)/J5)</f>
        <v/>
      </c>
      <c r="L5" s="37">
        <f>IFERROR(PERCENTRANK($I$5:$I$53,I5),0)</f>
        <v/>
      </c>
      <c r="M5" s="37">
        <f>IFERROR(PERCENTRANK($K$5:$K$53,K5),0)</f>
        <v/>
      </c>
      <c r="N5" s="37">
        <f>IF(ISNUMBER(G5),G5,Inputs!$B$24)/100</f>
        <v/>
      </c>
      <c r="O5" s="36">
        <f>100*(Inputs!$B$20*L5+Inputs!$B$21*M5+Inputs!$B$22*N5)*IF(F5="LOW",1-Inputs!$B$23,1)</f>
        <v/>
      </c>
      <c r="P5" s="3">
        <f>RANK(O5,$O$5:$O$53)</f>
        <v/>
      </c>
    </row>
    <row r="6">
      <c r="A6" s="20" t="inlineStr">
        <is>
          <t>AMZN</t>
        </is>
      </c>
      <c r="B6" t="inlineStr">
        <is>
          <t>Held</t>
        </is>
      </c>
      <c r="C6" s="33">
        <f>Holdings!V7</f>
        <v/>
      </c>
      <c r="D6" s="33">
        <f>Holdings!Q7</f>
        <v/>
      </c>
      <c r="E6" s="33">
        <f>Holdings!AK7</f>
        <v/>
      </c>
      <c r="F6">
        <f>Holdings!R7</f>
        <v/>
      </c>
      <c r="G6" s="34" t="n">
        <v>57</v>
      </c>
      <c r="H6">
        <f>Holdings!AO7</f>
        <v/>
      </c>
      <c r="I6" s="35">
        <f>IFERROR(D6/C6-1,0)</f>
        <v/>
      </c>
      <c r="J6" s="35">
        <f>IFERROR(1-E6/C6,0)</f>
        <v/>
      </c>
      <c r="K6" s="36">
        <f>IF(J6&lt;=0,0,MAX(I6,0)/J6)</f>
        <v/>
      </c>
      <c r="L6" s="37">
        <f>IFERROR(PERCENTRANK($I$5:$I$53,I6),0)</f>
        <v/>
      </c>
      <c r="M6" s="37">
        <f>IFERROR(PERCENTRANK($K$5:$K$53,K6),0)</f>
        <v/>
      </c>
      <c r="N6" s="37">
        <f>IF(ISNUMBER(G6),G6,Inputs!$B$24)/100</f>
        <v/>
      </c>
      <c r="O6" s="36">
        <f>100*(Inputs!$B$20*L6+Inputs!$B$21*M6+Inputs!$B$22*N6)*IF(F6="LOW",1-Inputs!$B$23,1)</f>
        <v/>
      </c>
      <c r="P6" s="3">
        <f>RANK(O6,$O$5:$O$53)+COUNTIF($O$5:O5,O6)</f>
        <v/>
      </c>
    </row>
    <row r="7">
      <c r="A7" s="20" t="inlineStr">
        <is>
          <t>SOXL</t>
        </is>
      </c>
      <c r="B7" t="inlineStr">
        <is>
          <t>Held</t>
        </is>
      </c>
      <c r="C7" s="33">
        <f>Holdings!V8</f>
        <v/>
      </c>
      <c r="D7" s="33">
        <f>Holdings!Q8</f>
        <v/>
      </c>
      <c r="E7" s="33">
        <f>Holdings!AK8</f>
        <v/>
      </c>
      <c r="F7">
        <f>Holdings!R8</f>
        <v/>
      </c>
      <c r="G7" s="34" t="n">
        <v>57</v>
      </c>
      <c r="H7">
        <f>Holdings!AO8</f>
        <v/>
      </c>
      <c r="I7" s="35">
        <f>IFERROR(D7/C7-1,0)</f>
        <v/>
      </c>
      <c r="J7" s="35">
        <f>IFERROR(1-E7/C7,0)</f>
        <v/>
      </c>
      <c r="K7" s="36">
        <f>IF(J7&lt;=0,0,MAX(I7,0)/J7)</f>
        <v/>
      </c>
      <c r="L7" s="37">
        <f>IFERROR(PERCENTRANK($I$5:$I$53,I7),0)</f>
        <v/>
      </c>
      <c r="M7" s="37">
        <f>IFERROR(PERCENTRANK($K$5:$K$53,K7),0)</f>
        <v/>
      </c>
      <c r="N7" s="37">
        <f>IF(ISNUMBER(G7),G7,Inputs!$B$24)/100</f>
        <v/>
      </c>
      <c r="O7" s="36">
        <f>100*(Inputs!$B$20*L7+Inputs!$B$21*M7+Inputs!$B$22*N7)*IF(F7="LOW",1-Inputs!$B$23,1)</f>
        <v/>
      </c>
      <c r="P7" s="3">
        <f>RANK(O7,$O$5:$O$53)+COUNTIF($O$5:O6,O7)</f>
        <v/>
      </c>
    </row>
    <row r="8">
      <c r="A8" s="20" t="inlineStr">
        <is>
          <t>SPCX</t>
        </is>
      </c>
      <c r="B8" t="inlineStr">
        <is>
          <t>Held</t>
        </is>
      </c>
      <c r="C8" s="33">
        <f>Holdings!V9</f>
        <v/>
      </c>
      <c r="D8" s="33">
        <f>Holdings!Q9</f>
        <v/>
      </c>
      <c r="E8" s="33">
        <f>Holdings!AK9</f>
        <v/>
      </c>
      <c r="F8">
        <f>Holdings!R9</f>
        <v/>
      </c>
      <c r="G8" s="34" t="inlineStr">
        <is>
          <t>n/a</t>
        </is>
      </c>
      <c r="H8">
        <f>Holdings!AO9</f>
        <v/>
      </c>
      <c r="I8" s="35">
        <f>IFERROR(D8/C8-1,0)</f>
        <v/>
      </c>
      <c r="J8" s="35">
        <f>IFERROR(1-E8/C8,0)</f>
        <v/>
      </c>
      <c r="K8" s="36">
        <f>IF(J8&lt;=0,0,MAX(I8,0)/J8)</f>
        <v/>
      </c>
      <c r="L8" s="37">
        <f>IFERROR(PERCENTRANK($I$5:$I$53,I8),0)</f>
        <v/>
      </c>
      <c r="M8" s="37">
        <f>IFERROR(PERCENTRANK($K$5:$K$53,K8),0)</f>
        <v/>
      </c>
      <c r="N8" s="37">
        <f>IF(ISNUMBER(G8),G8,Inputs!$B$24)/100</f>
        <v/>
      </c>
      <c r="O8" s="36">
        <f>100*(Inputs!$B$20*L8+Inputs!$B$21*M8+Inputs!$B$22*N8)*IF(F8="LOW",1-Inputs!$B$23,1)</f>
        <v/>
      </c>
      <c r="P8" s="3">
        <f>RANK(O8,$O$5:$O$53)+COUNTIF($O$5:O7,O8)</f>
        <v/>
      </c>
    </row>
    <row r="9">
      <c r="A9" s="20" t="inlineStr">
        <is>
          <t>NBIS</t>
        </is>
      </c>
      <c r="B9" t="inlineStr">
        <is>
          <t>Held</t>
        </is>
      </c>
      <c r="C9" s="33">
        <f>Holdings!V10</f>
        <v/>
      </c>
      <c r="D9" s="33">
        <f>Holdings!Q10</f>
        <v/>
      </c>
      <c r="E9" s="33">
        <f>Holdings!AK10</f>
        <v/>
      </c>
      <c r="F9">
        <f>Holdings!R10</f>
        <v/>
      </c>
      <c r="G9" s="34" t="n">
        <v>43</v>
      </c>
      <c r="H9">
        <f>Holdings!AO10</f>
        <v/>
      </c>
      <c r="I9" s="35">
        <f>IFERROR(D9/C9-1,0)</f>
        <v/>
      </c>
      <c r="J9" s="35">
        <f>IFERROR(1-E9/C9,0)</f>
        <v/>
      </c>
      <c r="K9" s="36">
        <f>IF(J9&lt;=0,0,MAX(I9,0)/J9)</f>
        <v/>
      </c>
      <c r="L9" s="37">
        <f>IFERROR(PERCENTRANK($I$5:$I$53,I9),0)</f>
        <v/>
      </c>
      <c r="M9" s="37">
        <f>IFERROR(PERCENTRANK($K$5:$K$53,K9),0)</f>
        <v/>
      </c>
      <c r="N9" s="37">
        <f>IF(ISNUMBER(G9),G9,Inputs!$B$24)/100</f>
        <v/>
      </c>
      <c r="O9" s="36">
        <f>100*(Inputs!$B$20*L9+Inputs!$B$21*M9+Inputs!$B$22*N9)*IF(F9="LOW",1-Inputs!$B$23,1)</f>
        <v/>
      </c>
      <c r="P9" s="3">
        <f>RANK(O9,$O$5:$O$53)+COUNTIF($O$5:O8,O9)</f>
        <v/>
      </c>
    </row>
    <row r="10">
      <c r="A10" s="20" t="inlineStr">
        <is>
          <t>MPWR</t>
        </is>
      </c>
      <c r="B10" t="inlineStr">
        <is>
          <t>Held</t>
        </is>
      </c>
      <c r="C10" s="33">
        <f>Holdings!V11</f>
        <v/>
      </c>
      <c r="D10" s="33">
        <f>Holdings!Q11</f>
        <v/>
      </c>
      <c r="E10" s="33">
        <f>Holdings!AK11</f>
        <v/>
      </c>
      <c r="F10">
        <f>Holdings!R11</f>
        <v/>
      </c>
      <c r="G10" s="34" t="n">
        <v>29</v>
      </c>
      <c r="H10">
        <f>Holdings!AO11</f>
        <v/>
      </c>
      <c r="I10" s="35">
        <f>IFERROR(D10/C10-1,0)</f>
        <v/>
      </c>
      <c r="J10" s="35">
        <f>IFERROR(1-E10/C10,0)</f>
        <v/>
      </c>
      <c r="K10" s="36">
        <f>IF(J10&lt;=0,0,MAX(I10,0)/J10)</f>
        <v/>
      </c>
      <c r="L10" s="37">
        <f>IFERROR(PERCENTRANK($I$5:$I$53,I10),0)</f>
        <v/>
      </c>
      <c r="M10" s="37">
        <f>IFERROR(PERCENTRANK($K$5:$K$53,K10),0)</f>
        <v/>
      </c>
      <c r="N10" s="37">
        <f>IF(ISNUMBER(G10),G10,Inputs!$B$24)/100</f>
        <v/>
      </c>
      <c r="O10" s="36">
        <f>100*(Inputs!$B$20*L10+Inputs!$B$21*M10+Inputs!$B$22*N10)*IF(F10="LOW",1-Inputs!$B$23,1)</f>
        <v/>
      </c>
      <c r="P10" s="3">
        <f>RANK(O10,$O$5:$O$53)+COUNTIF($O$5:O9,O10)</f>
        <v/>
      </c>
    </row>
    <row r="11">
      <c r="A11" s="20" t="inlineStr">
        <is>
          <t>CDNS</t>
        </is>
      </c>
      <c r="B11" t="inlineStr">
        <is>
          <t>Held</t>
        </is>
      </c>
      <c r="C11" s="33">
        <f>Holdings!V12</f>
        <v/>
      </c>
      <c r="D11" s="33">
        <f>Holdings!Q12</f>
        <v/>
      </c>
      <c r="E11" s="33">
        <f>Holdings!AK12</f>
        <v/>
      </c>
      <c r="F11">
        <f>Holdings!R12</f>
        <v/>
      </c>
      <c r="G11" s="34" t="n">
        <v>29</v>
      </c>
      <c r="H11">
        <f>Holdings!AO12</f>
        <v/>
      </c>
      <c r="I11" s="35">
        <f>IFERROR(D11/C11-1,0)</f>
        <v/>
      </c>
      <c r="J11" s="35">
        <f>IFERROR(1-E11/C11,0)</f>
        <v/>
      </c>
      <c r="K11" s="36">
        <f>IF(J11&lt;=0,0,MAX(I11,0)/J11)</f>
        <v/>
      </c>
      <c r="L11" s="37">
        <f>IFERROR(PERCENTRANK($I$5:$I$53,I11),0)</f>
        <v/>
      </c>
      <c r="M11" s="37">
        <f>IFERROR(PERCENTRANK($K$5:$K$53,K11),0)</f>
        <v/>
      </c>
      <c r="N11" s="37">
        <f>IF(ISNUMBER(G11),G11,Inputs!$B$24)/100</f>
        <v/>
      </c>
      <c r="O11" s="36">
        <f>100*(Inputs!$B$20*L11+Inputs!$B$21*M11+Inputs!$B$22*N11)*IF(F11="LOW",1-Inputs!$B$23,1)</f>
        <v/>
      </c>
      <c r="P11" s="3">
        <f>RANK(O11,$O$5:$O$53)+COUNTIF($O$5:O10,O11)</f>
        <v/>
      </c>
    </row>
    <row r="12">
      <c r="A12" s="20" t="inlineStr">
        <is>
          <t>NOW</t>
        </is>
      </c>
      <c r="B12" t="inlineStr">
        <is>
          <t>Held</t>
        </is>
      </c>
      <c r="C12" s="33">
        <f>Holdings!V13</f>
        <v/>
      </c>
      <c r="D12" s="33">
        <f>Holdings!Q13</f>
        <v/>
      </c>
      <c r="E12" s="33">
        <f>Holdings!AK13</f>
        <v/>
      </c>
      <c r="F12">
        <f>Holdings!R13</f>
        <v/>
      </c>
      <c r="G12" s="34" t="n">
        <v>57</v>
      </c>
      <c r="H12">
        <f>Holdings!AO13</f>
        <v/>
      </c>
      <c r="I12" s="35">
        <f>IFERROR(D12/C12-1,0)</f>
        <v/>
      </c>
      <c r="J12" s="35">
        <f>IFERROR(1-E12/C12,0)</f>
        <v/>
      </c>
      <c r="K12" s="36">
        <f>IF(J12&lt;=0,0,MAX(I12,0)/J12)</f>
        <v/>
      </c>
      <c r="L12" s="37">
        <f>IFERROR(PERCENTRANK($I$5:$I$53,I12),0)</f>
        <v/>
      </c>
      <c r="M12" s="37">
        <f>IFERROR(PERCENTRANK($K$5:$K$53,K12),0)</f>
        <v/>
      </c>
      <c r="N12" s="37">
        <f>IF(ISNUMBER(G12),G12,Inputs!$B$24)/100</f>
        <v/>
      </c>
      <c r="O12" s="36">
        <f>100*(Inputs!$B$20*L12+Inputs!$B$21*M12+Inputs!$B$22*N12)*IF(F12="LOW",1-Inputs!$B$23,1)</f>
        <v/>
      </c>
      <c r="P12" s="3">
        <f>RANK(O12,$O$5:$O$53)+COUNTIF($O$5:O11,O12)</f>
        <v/>
      </c>
    </row>
    <row r="13">
      <c r="A13" s="20" t="inlineStr">
        <is>
          <t>ASND</t>
        </is>
      </c>
      <c r="B13" t="inlineStr">
        <is>
          <t>Held</t>
        </is>
      </c>
      <c r="C13" s="33">
        <f>Holdings!V14</f>
        <v/>
      </c>
      <c r="D13" s="33">
        <f>Holdings!Q14</f>
        <v/>
      </c>
      <c r="E13" s="33">
        <f>Holdings!AK14</f>
        <v/>
      </c>
      <c r="F13">
        <f>Holdings!R14</f>
        <v/>
      </c>
      <c r="G13" s="34" t="n">
        <v>14</v>
      </c>
      <c r="H13">
        <f>Holdings!AO14</f>
        <v/>
      </c>
      <c r="I13" s="35">
        <f>IFERROR(D13/C13-1,0)</f>
        <v/>
      </c>
      <c r="J13" s="35">
        <f>IFERROR(1-E13/C13,0)</f>
        <v/>
      </c>
      <c r="K13" s="36">
        <f>IF(J13&lt;=0,0,MAX(I13,0)/J13)</f>
        <v/>
      </c>
      <c r="L13" s="37">
        <f>IFERROR(PERCENTRANK($I$5:$I$53,I13),0)</f>
        <v/>
      </c>
      <c r="M13" s="37">
        <f>IFERROR(PERCENTRANK($K$5:$K$53,K13),0)</f>
        <v/>
      </c>
      <c r="N13" s="37">
        <f>IF(ISNUMBER(G13),G13,Inputs!$B$24)/100</f>
        <v/>
      </c>
      <c r="O13" s="36">
        <f>100*(Inputs!$B$20*L13+Inputs!$B$21*M13+Inputs!$B$22*N13)*IF(F13="LOW",1-Inputs!$B$23,1)</f>
        <v/>
      </c>
      <c r="P13" s="3">
        <f>RANK(O13,$O$5:$O$53)+COUNTIF($O$5:O12,O13)</f>
        <v/>
      </c>
    </row>
    <row r="14">
      <c r="A14" s="20" t="inlineStr">
        <is>
          <t>VST</t>
        </is>
      </c>
      <c r="B14" t="inlineStr">
        <is>
          <t>Held</t>
        </is>
      </c>
      <c r="C14" s="33">
        <f>Holdings!V15</f>
        <v/>
      </c>
      <c r="D14" s="33">
        <f>Holdings!Q15</f>
        <v/>
      </c>
      <c r="E14" s="33">
        <f>Holdings!AK15</f>
        <v/>
      </c>
      <c r="F14">
        <f>Holdings!R15</f>
        <v/>
      </c>
      <c r="G14" s="34" t="n">
        <v>43</v>
      </c>
      <c r="H14">
        <f>Holdings!AO15</f>
        <v/>
      </c>
      <c r="I14" s="35">
        <f>IFERROR(D14/C14-1,0)</f>
        <v/>
      </c>
      <c r="J14" s="35">
        <f>IFERROR(1-E14/C14,0)</f>
        <v/>
      </c>
      <c r="K14" s="36">
        <f>IF(J14&lt;=0,0,MAX(I14,0)/J14)</f>
        <v/>
      </c>
      <c r="L14" s="37">
        <f>IFERROR(PERCENTRANK($I$5:$I$53,I14),0)</f>
        <v/>
      </c>
      <c r="M14" s="37">
        <f>IFERROR(PERCENTRANK($K$5:$K$53,K14),0)</f>
        <v/>
      </c>
      <c r="N14" s="37">
        <f>IF(ISNUMBER(G14),G14,Inputs!$B$24)/100</f>
        <v/>
      </c>
      <c r="O14" s="36">
        <f>100*(Inputs!$B$20*L14+Inputs!$B$21*M14+Inputs!$B$22*N14)*IF(F14="LOW",1-Inputs!$B$23,1)</f>
        <v/>
      </c>
      <c r="P14" s="3">
        <f>RANK(O14,$O$5:$O$53)+COUNTIF($O$5:O13,O14)</f>
        <v/>
      </c>
    </row>
    <row r="15">
      <c r="A15" s="20" t="inlineStr">
        <is>
          <t>CRDO</t>
        </is>
      </c>
      <c r="B15" t="inlineStr">
        <is>
          <t>Held</t>
        </is>
      </c>
      <c r="C15" s="33">
        <f>Holdings!V16</f>
        <v/>
      </c>
      <c r="D15" s="33">
        <f>Holdings!Q16</f>
        <v/>
      </c>
      <c r="E15" s="33">
        <f>Holdings!AK16</f>
        <v/>
      </c>
      <c r="F15">
        <f>Holdings!R16</f>
        <v/>
      </c>
      <c r="G15" s="34" t="n">
        <v>43</v>
      </c>
      <c r="H15">
        <f>Holdings!AO16</f>
        <v/>
      </c>
      <c r="I15" s="35">
        <f>IFERROR(D15/C15-1,0)</f>
        <v/>
      </c>
      <c r="J15" s="35">
        <f>IFERROR(1-E15/C15,0)</f>
        <v/>
      </c>
      <c r="K15" s="36">
        <f>IF(J15&lt;=0,0,MAX(I15,0)/J15)</f>
        <v/>
      </c>
      <c r="L15" s="37">
        <f>IFERROR(PERCENTRANK($I$5:$I$53,I15),0)</f>
        <v/>
      </c>
      <c r="M15" s="37">
        <f>IFERROR(PERCENTRANK($K$5:$K$53,K15),0)</f>
        <v/>
      </c>
      <c r="N15" s="37">
        <f>IF(ISNUMBER(G15),G15,Inputs!$B$24)/100</f>
        <v/>
      </c>
      <c r="O15" s="36">
        <f>100*(Inputs!$B$20*L15+Inputs!$B$21*M15+Inputs!$B$22*N15)*IF(F15="LOW",1-Inputs!$B$23,1)</f>
        <v/>
      </c>
      <c r="P15" s="3">
        <f>RANK(O15,$O$5:$O$53)+COUNTIF($O$5:O14,O15)</f>
        <v/>
      </c>
    </row>
    <row r="16">
      <c r="A16" s="20" t="inlineStr">
        <is>
          <t>SNDK</t>
        </is>
      </c>
      <c r="B16" t="inlineStr">
        <is>
          <t>Held</t>
        </is>
      </c>
      <c r="C16" s="33">
        <f>Holdings!V17</f>
        <v/>
      </c>
      <c r="D16" s="33">
        <f>Holdings!Q17</f>
        <v/>
      </c>
      <c r="E16" s="33">
        <f>Holdings!AK17</f>
        <v/>
      </c>
      <c r="F16">
        <f>Holdings!R17</f>
        <v/>
      </c>
      <c r="G16" s="34" t="n">
        <v>57</v>
      </c>
      <c r="H16">
        <f>Holdings!AO17</f>
        <v/>
      </c>
      <c r="I16" s="35">
        <f>IFERROR(D16/C16-1,0)</f>
        <v/>
      </c>
      <c r="J16" s="35">
        <f>IFERROR(1-E16/C16,0)</f>
        <v/>
      </c>
      <c r="K16" s="36">
        <f>IF(J16&lt;=0,0,MAX(I16,0)/J16)</f>
        <v/>
      </c>
      <c r="L16" s="37">
        <f>IFERROR(PERCENTRANK($I$5:$I$53,I16),0)</f>
        <v/>
      </c>
      <c r="M16" s="37">
        <f>IFERROR(PERCENTRANK($K$5:$K$53,K16),0)</f>
        <v/>
      </c>
      <c r="N16" s="37">
        <f>IF(ISNUMBER(G16),G16,Inputs!$B$24)/100</f>
        <v/>
      </c>
      <c r="O16" s="36">
        <f>100*(Inputs!$B$20*L16+Inputs!$B$21*M16+Inputs!$B$22*N16)*IF(F16="LOW",1-Inputs!$B$23,1)</f>
        <v/>
      </c>
      <c r="P16" s="3">
        <f>RANK(O16,$O$5:$O$53)+COUNTIF($O$5:O15,O16)</f>
        <v/>
      </c>
    </row>
    <row r="17">
      <c r="A17" s="20" t="inlineStr">
        <is>
          <t>OKLO</t>
        </is>
      </c>
      <c r="B17" t="inlineStr">
        <is>
          <t>Held</t>
        </is>
      </c>
      <c r="C17" s="33">
        <f>Holdings!V18</f>
        <v/>
      </c>
      <c r="D17" s="33">
        <f>Holdings!Q18</f>
        <v/>
      </c>
      <c r="E17" s="33">
        <f>Holdings!AK18</f>
        <v/>
      </c>
      <c r="F17">
        <f>Holdings!R18</f>
        <v/>
      </c>
      <c r="G17" s="34" t="n">
        <v>86</v>
      </c>
      <c r="H17">
        <f>Holdings!AO18</f>
        <v/>
      </c>
      <c r="I17" s="35">
        <f>IFERROR(D17/C17-1,0)</f>
        <v/>
      </c>
      <c r="J17" s="35">
        <f>IFERROR(1-E17/C17,0)</f>
        <v/>
      </c>
      <c r="K17" s="36">
        <f>IF(J17&lt;=0,0,MAX(I17,0)/J17)</f>
        <v/>
      </c>
      <c r="L17" s="37">
        <f>IFERROR(PERCENTRANK($I$5:$I$53,I17),0)</f>
        <v/>
      </c>
      <c r="M17" s="37">
        <f>IFERROR(PERCENTRANK($K$5:$K$53,K17),0)</f>
        <v/>
      </c>
      <c r="N17" s="37">
        <f>IF(ISNUMBER(G17),G17,Inputs!$B$24)/100</f>
        <v/>
      </c>
      <c r="O17" s="36">
        <f>100*(Inputs!$B$20*L17+Inputs!$B$21*M17+Inputs!$B$22*N17)*IF(F17="LOW",1-Inputs!$B$23,1)</f>
        <v/>
      </c>
      <c r="P17" s="3">
        <f>RANK(O17,$O$5:$O$53)+COUNTIF($O$5:O16,O17)</f>
        <v/>
      </c>
    </row>
    <row r="18">
      <c r="A18" s="20" t="inlineStr">
        <is>
          <t>AAOX</t>
        </is>
      </c>
      <c r="B18" t="inlineStr">
        <is>
          <t>Held</t>
        </is>
      </c>
      <c r="C18" s="33">
        <f>Holdings!V19</f>
        <v/>
      </c>
      <c r="D18" s="33">
        <f>Holdings!Q19</f>
        <v/>
      </c>
      <c r="E18" s="33">
        <f>Holdings!AK19</f>
        <v/>
      </c>
      <c r="F18">
        <f>Holdings!R19</f>
        <v/>
      </c>
      <c r="G18" s="34" t="n">
        <v>43</v>
      </c>
      <c r="H18">
        <f>Holdings!AO19</f>
        <v/>
      </c>
      <c r="I18" s="35">
        <f>IFERROR(D18/C18-1,0)</f>
        <v/>
      </c>
      <c r="J18" s="35">
        <f>IFERROR(1-E18/C18,0)</f>
        <v/>
      </c>
      <c r="K18" s="36">
        <f>IF(J18&lt;=0,0,MAX(I18,0)/J18)</f>
        <v/>
      </c>
      <c r="L18" s="37">
        <f>IFERROR(PERCENTRANK($I$5:$I$53,I18),0)</f>
        <v/>
      </c>
      <c r="M18" s="37">
        <f>IFERROR(PERCENTRANK($K$5:$K$53,K18),0)</f>
        <v/>
      </c>
      <c r="N18" s="37">
        <f>IF(ISNUMBER(G18),G18,Inputs!$B$24)/100</f>
        <v/>
      </c>
      <c r="O18" s="36">
        <f>100*(Inputs!$B$20*L18+Inputs!$B$21*M18+Inputs!$B$22*N18)*IF(F18="LOW",1-Inputs!$B$23,1)</f>
        <v/>
      </c>
      <c r="P18" s="3">
        <f>RANK(O18,$O$5:$O$53)+COUNTIF($O$5:O17,O18)</f>
        <v/>
      </c>
    </row>
    <row r="19">
      <c r="A19" s="20" t="inlineStr">
        <is>
          <t>GOOGL</t>
        </is>
      </c>
      <c r="B19" t="inlineStr">
        <is>
          <t>Held</t>
        </is>
      </c>
      <c r="C19" s="33">
        <f>Holdings!V20</f>
        <v/>
      </c>
      <c r="D19" s="33">
        <f>Holdings!Q20</f>
        <v/>
      </c>
      <c r="E19" s="33">
        <f>Holdings!AK20</f>
        <v/>
      </c>
      <c r="F19">
        <f>Holdings!R20</f>
        <v/>
      </c>
      <c r="G19" s="34" t="n">
        <v>57</v>
      </c>
      <c r="H19">
        <f>Holdings!AO20</f>
        <v/>
      </c>
      <c r="I19" s="35">
        <f>IFERROR(D19/C19-1,0)</f>
        <v/>
      </c>
      <c r="J19" s="35">
        <f>IFERROR(1-E19/C19,0)</f>
        <v/>
      </c>
      <c r="K19" s="36">
        <f>IF(J19&lt;=0,0,MAX(I19,0)/J19)</f>
        <v/>
      </c>
      <c r="L19" s="37">
        <f>IFERROR(PERCENTRANK($I$5:$I$53,I19),0)</f>
        <v/>
      </c>
      <c r="M19" s="37">
        <f>IFERROR(PERCENTRANK($K$5:$K$53,K19),0)</f>
        <v/>
      </c>
      <c r="N19" s="37">
        <f>IF(ISNUMBER(G19),G19,Inputs!$B$24)/100</f>
        <v/>
      </c>
      <c r="O19" s="36">
        <f>100*(Inputs!$B$20*L19+Inputs!$B$21*M19+Inputs!$B$22*N19)*IF(F19="LOW",1-Inputs!$B$23,1)</f>
        <v/>
      </c>
      <c r="P19" s="3">
        <f>RANK(O19,$O$5:$O$53)+COUNTIF($O$5:O18,O19)</f>
        <v/>
      </c>
    </row>
    <row r="20">
      <c r="A20" s="20" t="inlineStr">
        <is>
          <t>IONQ</t>
        </is>
      </c>
      <c r="B20" t="inlineStr">
        <is>
          <t>Held</t>
        </is>
      </c>
      <c r="C20" s="33">
        <f>Holdings!V21</f>
        <v/>
      </c>
      <c r="D20" s="33">
        <f>Holdings!Q21</f>
        <v/>
      </c>
      <c r="E20" s="33">
        <f>Holdings!AK21</f>
        <v/>
      </c>
      <c r="F20">
        <f>Holdings!R21</f>
        <v/>
      </c>
      <c r="G20" s="34" t="n">
        <v>86</v>
      </c>
      <c r="H20">
        <f>Holdings!AO21</f>
        <v/>
      </c>
      <c r="I20" s="35">
        <f>IFERROR(D20/C20-1,0)</f>
        <v/>
      </c>
      <c r="J20" s="35">
        <f>IFERROR(1-E20/C20,0)</f>
        <v/>
      </c>
      <c r="K20" s="36">
        <f>IF(J20&lt;=0,0,MAX(I20,0)/J20)</f>
        <v/>
      </c>
      <c r="L20" s="37">
        <f>IFERROR(PERCENTRANK($I$5:$I$53,I20),0)</f>
        <v/>
      </c>
      <c r="M20" s="37">
        <f>IFERROR(PERCENTRANK($K$5:$K$53,K20),0)</f>
        <v/>
      </c>
      <c r="N20" s="37">
        <f>IF(ISNUMBER(G20),G20,Inputs!$B$24)/100</f>
        <v/>
      </c>
      <c r="O20" s="36">
        <f>100*(Inputs!$B$20*L20+Inputs!$B$21*M20+Inputs!$B$22*N20)*IF(F20="LOW",1-Inputs!$B$23,1)</f>
        <v/>
      </c>
      <c r="P20" s="3">
        <f>RANK(O20,$O$5:$O$53)+COUNTIF($O$5:O19,O20)</f>
        <v/>
      </c>
    </row>
    <row r="21">
      <c r="A21" s="20" t="inlineStr">
        <is>
          <t>AUR</t>
        </is>
      </c>
      <c r="B21" t="inlineStr">
        <is>
          <t>Held</t>
        </is>
      </c>
      <c r="C21" s="33">
        <f>Holdings!V22</f>
        <v/>
      </c>
      <c r="D21" s="33">
        <f>Holdings!Q22</f>
        <v/>
      </c>
      <c r="E21" s="33">
        <f>Holdings!AK22</f>
        <v/>
      </c>
      <c r="F21">
        <f>Holdings!R22</f>
        <v/>
      </c>
      <c r="G21" s="34" t="n">
        <v>71</v>
      </c>
      <c r="H21">
        <f>Holdings!AO22</f>
        <v/>
      </c>
      <c r="I21" s="35">
        <f>IFERROR(D21/C21-1,0)</f>
        <v/>
      </c>
      <c r="J21" s="35">
        <f>IFERROR(1-E21/C21,0)</f>
        <v/>
      </c>
      <c r="K21" s="36">
        <f>IF(J21&lt;=0,0,MAX(I21,0)/J21)</f>
        <v/>
      </c>
      <c r="L21" s="37">
        <f>IFERROR(PERCENTRANK($I$5:$I$53,I21),0)</f>
        <v/>
      </c>
      <c r="M21" s="37">
        <f>IFERROR(PERCENTRANK($K$5:$K$53,K21),0)</f>
        <v/>
      </c>
      <c r="N21" s="37">
        <f>IF(ISNUMBER(G21),G21,Inputs!$B$24)/100</f>
        <v/>
      </c>
      <c r="O21" s="36">
        <f>100*(Inputs!$B$20*L21+Inputs!$B$21*M21+Inputs!$B$22*N21)*IF(F21="LOW",1-Inputs!$B$23,1)</f>
        <v/>
      </c>
      <c r="P21" s="3">
        <f>RANK(O21,$O$5:$O$53)+COUNTIF($O$5:O20,O21)</f>
        <v/>
      </c>
    </row>
    <row r="22">
      <c r="A22" s="20" t="inlineStr">
        <is>
          <t>AEM</t>
        </is>
      </c>
      <c r="B22" t="inlineStr">
        <is>
          <t>Buy Zone</t>
        </is>
      </c>
      <c r="C22" s="33">
        <f>Watchlist!J5</f>
        <v/>
      </c>
      <c r="D22" s="33">
        <f>Watchlist!M5</f>
        <v/>
      </c>
      <c r="E22" s="33">
        <f>Watchlist!U5</f>
        <v/>
      </c>
      <c r="F22" t="inlineStr">
        <is>
          <t>analyst mean</t>
        </is>
      </c>
      <c r="G22" s="34" t="n">
        <v>86</v>
      </c>
      <c r="H22">
        <f>Watchlist!AC5</f>
        <v/>
      </c>
      <c r="I22" s="35">
        <f>IFERROR(D22/C22-1,0)</f>
        <v/>
      </c>
      <c r="J22" s="35">
        <f>IFERROR(1-E22/C22,0)</f>
        <v/>
      </c>
      <c r="K22" s="36">
        <f>IF(J22&lt;=0,0,MAX(I22,0)/J22)</f>
        <v/>
      </c>
      <c r="L22" s="37">
        <f>IFERROR(PERCENTRANK($I$5:$I$53,I22),0)</f>
        <v/>
      </c>
      <c r="M22" s="37">
        <f>IFERROR(PERCENTRANK($K$5:$K$53,K22),0)</f>
        <v/>
      </c>
      <c r="N22" s="37">
        <f>IF(ISNUMBER(G22),G22,Inputs!$B$24)/100</f>
        <v/>
      </c>
      <c r="O22" s="36">
        <f>100*(Inputs!$B$20*L22+Inputs!$B$21*M22+Inputs!$B$22*N22)*IF(F22="LOW",1-Inputs!$B$23,1)</f>
        <v/>
      </c>
      <c r="P22" s="3">
        <f>RANK(O22,$O$5:$O$53)+COUNTIF($O$5:O21,O22)</f>
        <v/>
      </c>
    </row>
    <row r="23">
      <c r="A23" s="20" t="inlineStr">
        <is>
          <t>NVDA</t>
        </is>
      </c>
      <c r="B23" t="inlineStr">
        <is>
          <t>Buy Zone</t>
        </is>
      </c>
      <c r="C23" s="33">
        <f>Watchlist!J6</f>
        <v/>
      </c>
      <c r="D23" s="33">
        <f>Watchlist!M6</f>
        <v/>
      </c>
      <c r="E23" s="33">
        <f>Watchlist!U6</f>
        <v/>
      </c>
      <c r="F23" t="inlineStr">
        <is>
          <t>analyst mean</t>
        </is>
      </c>
      <c r="G23" s="34" t="n">
        <v>71</v>
      </c>
      <c r="H23">
        <f>Watchlist!AC6</f>
        <v/>
      </c>
      <c r="I23" s="35">
        <f>IFERROR(D23/C23-1,0)</f>
        <v/>
      </c>
      <c r="J23" s="35">
        <f>IFERROR(1-E23/C23,0)</f>
        <v/>
      </c>
      <c r="K23" s="36">
        <f>IF(J23&lt;=0,0,MAX(I23,0)/J23)</f>
        <v/>
      </c>
      <c r="L23" s="37">
        <f>IFERROR(PERCENTRANK($I$5:$I$53,I23),0)</f>
        <v/>
      </c>
      <c r="M23" s="37">
        <f>IFERROR(PERCENTRANK($K$5:$K$53,K23),0)</f>
        <v/>
      </c>
      <c r="N23" s="37">
        <f>IF(ISNUMBER(G23),G23,Inputs!$B$24)/100</f>
        <v/>
      </c>
      <c r="O23" s="36">
        <f>100*(Inputs!$B$20*L23+Inputs!$B$21*M23+Inputs!$B$22*N23)*IF(F23="LOW",1-Inputs!$B$23,1)</f>
        <v/>
      </c>
      <c r="P23" s="3">
        <f>RANK(O23,$O$5:$O$53)+COUNTIF($O$5:O22,O23)</f>
        <v/>
      </c>
    </row>
    <row r="24">
      <c r="A24" s="20" t="inlineStr">
        <is>
          <t>STX</t>
        </is>
      </c>
      <c r="B24" t="inlineStr">
        <is>
          <t>Buy Zone</t>
        </is>
      </c>
      <c r="C24" s="33">
        <f>Watchlist!J7</f>
        <v/>
      </c>
      <c r="D24" s="33">
        <f>Watchlist!M7</f>
        <v/>
      </c>
      <c r="E24" s="33">
        <f>Watchlist!U7</f>
        <v/>
      </c>
      <c r="F24" t="inlineStr">
        <is>
          <t>analyst mean</t>
        </is>
      </c>
      <c r="G24" s="34" t="n">
        <v>71</v>
      </c>
      <c r="H24">
        <f>Watchlist!AC7</f>
        <v/>
      </c>
      <c r="I24" s="35">
        <f>IFERROR(D24/C24-1,0)</f>
        <v/>
      </c>
      <c r="J24" s="35">
        <f>IFERROR(1-E24/C24,0)</f>
        <v/>
      </c>
      <c r="K24" s="36">
        <f>IF(J24&lt;=0,0,MAX(I24,0)/J24)</f>
        <v/>
      </c>
      <c r="L24" s="37">
        <f>IFERROR(PERCENTRANK($I$5:$I$53,I24),0)</f>
        <v/>
      </c>
      <c r="M24" s="37">
        <f>IFERROR(PERCENTRANK($K$5:$K$53,K24),0)</f>
        <v/>
      </c>
      <c r="N24" s="37">
        <f>IF(ISNUMBER(G24),G24,Inputs!$B$24)/100</f>
        <v/>
      </c>
      <c r="O24" s="36">
        <f>100*(Inputs!$B$20*L24+Inputs!$B$21*M24+Inputs!$B$22*N24)*IF(F24="LOW",1-Inputs!$B$23,1)</f>
        <v/>
      </c>
      <c r="P24" s="3">
        <f>RANK(O24,$O$5:$O$53)+COUNTIF($O$5:O23,O24)</f>
        <v/>
      </c>
    </row>
    <row r="25">
      <c r="A25" s="20" t="inlineStr">
        <is>
          <t>SCCO</t>
        </is>
      </c>
      <c r="B25" t="inlineStr">
        <is>
          <t>Buy Zone</t>
        </is>
      </c>
      <c r="C25" s="33">
        <f>Watchlist!J8</f>
        <v/>
      </c>
      <c r="D25" s="33">
        <f>Watchlist!M8</f>
        <v/>
      </c>
      <c r="E25" s="33">
        <f>Watchlist!U8</f>
        <v/>
      </c>
      <c r="F25" t="inlineStr">
        <is>
          <t>analyst mean</t>
        </is>
      </c>
      <c r="G25" s="34" t="n">
        <v>71</v>
      </c>
      <c r="H25">
        <f>Watchlist!AC8</f>
        <v/>
      </c>
      <c r="I25" s="35">
        <f>IFERROR(D25/C25-1,0)</f>
        <v/>
      </c>
      <c r="J25" s="35">
        <f>IFERROR(1-E25/C25,0)</f>
        <v/>
      </c>
      <c r="K25" s="36">
        <f>IF(J25&lt;=0,0,MAX(I25,0)/J25)</f>
        <v/>
      </c>
      <c r="L25" s="37">
        <f>IFERROR(PERCENTRANK($I$5:$I$53,I25),0)</f>
        <v/>
      </c>
      <c r="M25" s="37">
        <f>IFERROR(PERCENTRANK($K$5:$K$53,K25),0)</f>
        <v/>
      </c>
      <c r="N25" s="37">
        <f>IF(ISNUMBER(G25),G25,Inputs!$B$24)/100</f>
        <v/>
      </c>
      <c r="O25" s="36">
        <f>100*(Inputs!$B$20*L25+Inputs!$B$21*M25+Inputs!$B$22*N25)*IF(F25="LOW",1-Inputs!$B$23,1)</f>
        <v/>
      </c>
      <c r="P25" s="3">
        <f>RANK(O25,$O$5:$O$53)+COUNTIF($O$5:O24,O25)</f>
        <v/>
      </c>
    </row>
    <row r="26">
      <c r="A26" s="20" t="inlineStr">
        <is>
          <t>FNV</t>
        </is>
      </c>
      <c r="B26" t="inlineStr">
        <is>
          <t>Buy Zone</t>
        </is>
      </c>
      <c r="C26" s="33">
        <f>Watchlist!J9</f>
        <v/>
      </c>
      <c r="D26" s="33">
        <f>Watchlist!M9</f>
        <v/>
      </c>
      <c r="E26" s="33">
        <f>Watchlist!U9</f>
        <v/>
      </c>
      <c r="F26" t="inlineStr">
        <is>
          <t>analyst mean</t>
        </is>
      </c>
      <c r="G26" s="34" t="n">
        <v>71</v>
      </c>
      <c r="H26">
        <f>Watchlist!AC9</f>
        <v/>
      </c>
      <c r="I26" s="35">
        <f>IFERROR(D26/C26-1,0)</f>
        <v/>
      </c>
      <c r="J26" s="35">
        <f>IFERROR(1-E26/C26,0)</f>
        <v/>
      </c>
      <c r="K26" s="36">
        <f>IF(J26&lt;=0,0,MAX(I26,0)/J26)</f>
        <v/>
      </c>
      <c r="L26" s="37">
        <f>IFERROR(PERCENTRANK($I$5:$I$53,I26),0)</f>
        <v/>
      </c>
      <c r="M26" s="37">
        <f>IFERROR(PERCENTRANK($K$5:$K$53,K26),0)</f>
        <v/>
      </c>
      <c r="N26" s="37">
        <f>IF(ISNUMBER(G26),G26,Inputs!$B$24)/100</f>
        <v/>
      </c>
      <c r="O26" s="36">
        <f>100*(Inputs!$B$20*L26+Inputs!$B$21*M26+Inputs!$B$22*N26)*IF(F26="LOW",1-Inputs!$B$23,1)</f>
        <v/>
      </c>
      <c r="P26" s="3">
        <f>RANK(O26,$O$5:$O$53)+COUNTIF($O$5:O25,O26)</f>
        <v/>
      </c>
    </row>
    <row r="27">
      <c r="A27" s="20" t="inlineStr">
        <is>
          <t>AVGO</t>
        </is>
      </c>
      <c r="B27" t="inlineStr">
        <is>
          <t>Buy Zone</t>
        </is>
      </c>
      <c r="C27" s="33">
        <f>Watchlist!J10</f>
        <v/>
      </c>
      <c r="D27" s="33">
        <f>Watchlist!M10</f>
        <v/>
      </c>
      <c r="E27" s="33">
        <f>Watchlist!U10</f>
        <v/>
      </c>
      <c r="F27" t="inlineStr">
        <is>
          <t>analyst mean</t>
        </is>
      </c>
      <c r="G27" s="34" t="n">
        <v>57</v>
      </c>
      <c r="H27">
        <f>Watchlist!AC10</f>
        <v/>
      </c>
      <c r="I27" s="35">
        <f>IFERROR(D27/C27-1,0)</f>
        <v/>
      </c>
      <c r="J27" s="35">
        <f>IFERROR(1-E27/C27,0)</f>
        <v/>
      </c>
      <c r="K27" s="36">
        <f>IF(J27&lt;=0,0,MAX(I27,0)/J27)</f>
        <v/>
      </c>
      <c r="L27" s="37">
        <f>IFERROR(PERCENTRANK($I$5:$I$53,I27),0)</f>
        <v/>
      </c>
      <c r="M27" s="37">
        <f>IFERROR(PERCENTRANK($K$5:$K$53,K27),0)</f>
        <v/>
      </c>
      <c r="N27" s="37">
        <f>IF(ISNUMBER(G27),G27,Inputs!$B$24)/100</f>
        <v/>
      </c>
      <c r="O27" s="36">
        <f>100*(Inputs!$B$20*L27+Inputs!$B$21*M27+Inputs!$B$22*N27)*IF(F27="LOW",1-Inputs!$B$23,1)</f>
        <v/>
      </c>
      <c r="P27" s="3">
        <f>RANK(O27,$O$5:$O$53)+COUNTIF($O$5:O26,O27)</f>
        <v/>
      </c>
    </row>
    <row r="28">
      <c r="A28" s="20" t="inlineStr">
        <is>
          <t>HOOD</t>
        </is>
      </c>
      <c r="B28" t="inlineStr">
        <is>
          <t>Buy Zone</t>
        </is>
      </c>
      <c r="C28" s="33">
        <f>Watchlist!J11</f>
        <v/>
      </c>
      <c r="D28" s="33">
        <f>Watchlist!M11</f>
        <v/>
      </c>
      <c r="E28" s="33">
        <f>Watchlist!U11</f>
        <v/>
      </c>
      <c r="F28" t="inlineStr">
        <is>
          <t>analyst mean</t>
        </is>
      </c>
      <c r="G28" s="34" t="n">
        <v>57</v>
      </c>
      <c r="H28">
        <f>Watchlist!AC11</f>
        <v/>
      </c>
      <c r="I28" s="35">
        <f>IFERROR(D28/C28-1,0)</f>
        <v/>
      </c>
      <c r="J28" s="35">
        <f>IFERROR(1-E28/C28,0)</f>
        <v/>
      </c>
      <c r="K28" s="36">
        <f>IF(J28&lt;=0,0,MAX(I28,0)/J28)</f>
        <v/>
      </c>
      <c r="L28" s="37">
        <f>IFERROR(PERCENTRANK($I$5:$I$53,I28),0)</f>
        <v/>
      </c>
      <c r="M28" s="37">
        <f>IFERROR(PERCENTRANK($K$5:$K$53,K28),0)</f>
        <v/>
      </c>
      <c r="N28" s="37">
        <f>IF(ISNUMBER(G28),G28,Inputs!$B$24)/100</f>
        <v/>
      </c>
      <c r="O28" s="36">
        <f>100*(Inputs!$B$20*L28+Inputs!$B$21*M28+Inputs!$B$22*N28)*IF(F28="LOW",1-Inputs!$B$23,1)</f>
        <v/>
      </c>
      <c r="P28" s="3">
        <f>RANK(O28,$O$5:$O$53)+COUNTIF($O$5:O27,O28)</f>
        <v/>
      </c>
    </row>
    <row r="29">
      <c r="A29" s="20" t="inlineStr">
        <is>
          <t>NEM</t>
        </is>
      </c>
      <c r="B29" t="inlineStr">
        <is>
          <t>Buy Zone</t>
        </is>
      </c>
      <c r="C29" s="33">
        <f>Watchlist!J12</f>
        <v/>
      </c>
      <c r="D29" s="33">
        <f>Watchlist!M12</f>
        <v/>
      </c>
      <c r="E29" s="33">
        <f>Watchlist!U12</f>
        <v/>
      </c>
      <c r="F29" t="inlineStr">
        <is>
          <t>analyst mean</t>
        </is>
      </c>
      <c r="G29" s="34" t="n">
        <v>57</v>
      </c>
      <c r="H29">
        <f>Watchlist!AC12</f>
        <v/>
      </c>
      <c r="I29" s="35">
        <f>IFERROR(D29/C29-1,0)</f>
        <v/>
      </c>
      <c r="J29" s="35">
        <f>IFERROR(1-E29/C29,0)</f>
        <v/>
      </c>
      <c r="K29" s="36">
        <f>IF(J29&lt;=0,0,MAX(I29,0)/J29)</f>
        <v/>
      </c>
      <c r="L29" s="37">
        <f>IFERROR(PERCENTRANK($I$5:$I$53,I29),0)</f>
        <v/>
      </c>
      <c r="M29" s="37">
        <f>IFERROR(PERCENTRANK($K$5:$K$53,K29),0)</f>
        <v/>
      </c>
      <c r="N29" s="37">
        <f>IF(ISNUMBER(G29),G29,Inputs!$B$24)/100</f>
        <v/>
      </c>
      <c r="O29" s="36">
        <f>100*(Inputs!$B$20*L29+Inputs!$B$21*M29+Inputs!$B$22*N29)*IF(F29="LOW",1-Inputs!$B$23,1)</f>
        <v/>
      </c>
      <c r="P29" s="3">
        <f>RANK(O29,$O$5:$O$53)+COUNTIF($O$5:O28,O29)</f>
        <v/>
      </c>
    </row>
    <row r="30">
      <c r="A30" s="20" t="inlineStr">
        <is>
          <t>ASML</t>
        </is>
      </c>
      <c r="B30" t="inlineStr">
        <is>
          <t>Buy Zone</t>
        </is>
      </c>
      <c r="C30" s="33">
        <f>Watchlist!J13</f>
        <v/>
      </c>
      <c r="D30" s="33">
        <f>Watchlist!M13</f>
        <v/>
      </c>
      <c r="E30" s="33">
        <f>Watchlist!U13</f>
        <v/>
      </c>
      <c r="F30" t="inlineStr">
        <is>
          <t>analyst mean</t>
        </is>
      </c>
      <c r="G30" s="34" t="n">
        <v>43</v>
      </c>
      <c r="H30">
        <f>Watchlist!AC13</f>
        <v/>
      </c>
      <c r="I30" s="35">
        <f>IFERROR(D30/C30-1,0)</f>
        <v/>
      </c>
      <c r="J30" s="35">
        <f>IFERROR(1-E30/C30,0)</f>
        <v/>
      </c>
      <c r="K30" s="36">
        <f>IF(J30&lt;=0,0,MAX(I30,0)/J30)</f>
        <v/>
      </c>
      <c r="L30" s="37">
        <f>IFERROR(PERCENTRANK($I$5:$I$53,I30),0)</f>
        <v/>
      </c>
      <c r="M30" s="37">
        <f>IFERROR(PERCENTRANK($K$5:$K$53,K30),0)</f>
        <v/>
      </c>
      <c r="N30" s="37">
        <f>IF(ISNUMBER(G30),G30,Inputs!$B$24)/100</f>
        <v/>
      </c>
      <c r="O30" s="36">
        <f>100*(Inputs!$B$20*L30+Inputs!$B$21*M30+Inputs!$B$22*N30)*IF(F30="LOW",1-Inputs!$B$23,1)</f>
        <v/>
      </c>
      <c r="P30" s="3">
        <f>RANK(O30,$O$5:$O$53)+COUNTIF($O$5:O29,O30)</f>
        <v/>
      </c>
    </row>
    <row r="31">
      <c r="A31" s="20" t="inlineStr">
        <is>
          <t>AMAT</t>
        </is>
      </c>
      <c r="B31" t="inlineStr">
        <is>
          <t>Buy Zone</t>
        </is>
      </c>
      <c r="C31" s="33">
        <f>Watchlist!J14</f>
        <v/>
      </c>
      <c r="D31" s="33">
        <f>Watchlist!M14</f>
        <v/>
      </c>
      <c r="E31" s="33">
        <f>Watchlist!U14</f>
        <v/>
      </c>
      <c r="F31" t="inlineStr">
        <is>
          <t>analyst mean</t>
        </is>
      </c>
      <c r="G31" s="34" t="n">
        <v>43</v>
      </c>
      <c r="H31">
        <f>Watchlist!AC14</f>
        <v/>
      </c>
      <c r="I31" s="35">
        <f>IFERROR(D31/C31-1,0)</f>
        <v/>
      </c>
      <c r="J31" s="35">
        <f>IFERROR(1-E31/C31,0)</f>
        <v/>
      </c>
      <c r="K31" s="36">
        <f>IF(J31&lt;=0,0,MAX(I31,0)/J31)</f>
        <v/>
      </c>
      <c r="L31" s="37">
        <f>IFERROR(PERCENTRANK($I$5:$I$53,I31),0)</f>
        <v/>
      </c>
      <c r="M31" s="37">
        <f>IFERROR(PERCENTRANK($K$5:$K$53,K31),0)</f>
        <v/>
      </c>
      <c r="N31" s="37">
        <f>IF(ISNUMBER(G31),G31,Inputs!$B$24)/100</f>
        <v/>
      </c>
      <c r="O31" s="36">
        <f>100*(Inputs!$B$20*L31+Inputs!$B$21*M31+Inputs!$B$22*N31)*IF(F31="LOW",1-Inputs!$B$23,1)</f>
        <v/>
      </c>
      <c r="P31" s="3">
        <f>RANK(O31,$O$5:$O$53)+COUNTIF($O$5:O30,O31)</f>
        <v/>
      </c>
    </row>
    <row r="32">
      <c r="A32" s="20" t="inlineStr">
        <is>
          <t>KEYS</t>
        </is>
      </c>
      <c r="B32" t="inlineStr">
        <is>
          <t>Buy Zone</t>
        </is>
      </c>
      <c r="C32" s="33">
        <f>Watchlist!J15</f>
        <v/>
      </c>
      <c r="D32" s="33">
        <f>Watchlist!M15</f>
        <v/>
      </c>
      <c r="E32" s="33">
        <f>Watchlist!U15</f>
        <v/>
      </c>
      <c r="F32" t="inlineStr">
        <is>
          <t>analyst mean</t>
        </is>
      </c>
      <c r="G32" s="34" t="n">
        <v>43</v>
      </c>
      <c r="H32">
        <f>Watchlist!AC15</f>
        <v/>
      </c>
      <c r="I32" s="35">
        <f>IFERROR(D32/C32-1,0)</f>
        <v/>
      </c>
      <c r="J32" s="35">
        <f>IFERROR(1-E32/C32,0)</f>
        <v/>
      </c>
      <c r="K32" s="36">
        <f>IF(J32&lt;=0,0,MAX(I32,0)/J32)</f>
        <v/>
      </c>
      <c r="L32" s="37">
        <f>IFERROR(PERCENTRANK($I$5:$I$53,I32),0)</f>
        <v/>
      </c>
      <c r="M32" s="37">
        <f>IFERROR(PERCENTRANK($K$5:$K$53,K32),0)</f>
        <v/>
      </c>
      <c r="N32" s="37">
        <f>IF(ISNUMBER(G32),G32,Inputs!$B$24)/100</f>
        <v/>
      </c>
      <c r="O32" s="36">
        <f>100*(Inputs!$B$20*L32+Inputs!$B$21*M32+Inputs!$B$22*N32)*IF(F32="LOW",1-Inputs!$B$23,1)</f>
        <v/>
      </c>
      <c r="P32" s="3">
        <f>RANK(O32,$O$5:$O$53)+COUNTIF($O$5:O31,O32)</f>
        <v/>
      </c>
    </row>
    <row r="33">
      <c r="A33" s="20" t="inlineStr">
        <is>
          <t>WES</t>
        </is>
      </c>
      <c r="B33" t="inlineStr">
        <is>
          <t>Buy Zone</t>
        </is>
      </c>
      <c r="C33" s="33">
        <f>Watchlist!J17</f>
        <v/>
      </c>
      <c r="D33" s="33">
        <f>Watchlist!M17</f>
        <v/>
      </c>
      <c r="E33" s="33">
        <f>Watchlist!U17</f>
        <v/>
      </c>
      <c r="F33" t="inlineStr">
        <is>
          <t>analyst mean</t>
        </is>
      </c>
      <c r="G33" s="34" t="n">
        <v>29</v>
      </c>
      <c r="H33">
        <f>Watchlist!AC17</f>
        <v/>
      </c>
      <c r="I33" s="35">
        <f>IFERROR(D33/C33-1,0)</f>
        <v/>
      </c>
      <c r="J33" s="35">
        <f>IFERROR(1-E33/C33,0)</f>
        <v/>
      </c>
      <c r="K33" s="36">
        <f>IF(J33&lt;=0,0,MAX(I33,0)/J33)</f>
        <v/>
      </c>
      <c r="L33" s="37">
        <f>IFERROR(PERCENTRANK($I$5:$I$53,I33),0)</f>
        <v/>
      </c>
      <c r="M33" s="37">
        <f>IFERROR(PERCENTRANK($K$5:$K$53,K33),0)</f>
        <v/>
      </c>
      <c r="N33" s="37">
        <f>IF(ISNUMBER(G33),G33,Inputs!$B$24)/100</f>
        <v/>
      </c>
      <c r="O33" s="36">
        <f>100*(Inputs!$B$20*L33+Inputs!$B$21*M33+Inputs!$B$22*N33)*IF(F33="LOW",1-Inputs!$B$23,1)</f>
        <v/>
      </c>
      <c r="P33" s="3">
        <f>RANK(O33,$O$5:$O$53)+COUNTIF($O$5:O32,O33)</f>
        <v/>
      </c>
    </row>
    <row r="34">
      <c r="A34" s="20" t="inlineStr">
        <is>
          <t>RGLD</t>
        </is>
      </c>
      <c r="B34" t="inlineStr">
        <is>
          <t>Buy Zone</t>
        </is>
      </c>
      <c r="C34" s="33">
        <f>Watchlist!J18</f>
        <v/>
      </c>
      <c r="D34" s="33">
        <f>Watchlist!M18</f>
        <v/>
      </c>
      <c r="E34" s="33">
        <f>Watchlist!U18</f>
        <v/>
      </c>
      <c r="F34" t="inlineStr">
        <is>
          <t>analyst mean</t>
        </is>
      </c>
      <c r="G34" s="34" t="n">
        <v>29</v>
      </c>
      <c r="H34">
        <f>Watchlist!AC18</f>
        <v/>
      </c>
      <c r="I34" s="35">
        <f>IFERROR(D34/C34-1,0)</f>
        <v/>
      </c>
      <c r="J34" s="35">
        <f>IFERROR(1-E34/C34,0)</f>
        <v/>
      </c>
      <c r="K34" s="36">
        <f>IF(J34&lt;=0,0,MAX(I34,0)/J34)</f>
        <v/>
      </c>
      <c r="L34" s="37">
        <f>IFERROR(PERCENTRANK($I$5:$I$53,I34),0)</f>
        <v/>
      </c>
      <c r="M34" s="37">
        <f>IFERROR(PERCENTRANK($K$5:$K$53,K34),0)</f>
        <v/>
      </c>
      <c r="N34" s="37">
        <f>IF(ISNUMBER(G34),G34,Inputs!$B$24)/100</f>
        <v/>
      </c>
      <c r="O34" s="36">
        <f>100*(Inputs!$B$20*L34+Inputs!$B$21*M34+Inputs!$B$22*N34)*IF(F34="LOW",1-Inputs!$B$23,1)</f>
        <v/>
      </c>
      <c r="P34" s="3">
        <f>RANK(O34,$O$5:$O$53)+COUNTIF($O$5:O33,O34)</f>
        <v/>
      </c>
    </row>
    <row r="35">
      <c r="A35" s="20" t="inlineStr">
        <is>
          <t>WDC</t>
        </is>
      </c>
      <c r="B35" t="inlineStr">
        <is>
          <t>Buy Zone</t>
        </is>
      </c>
      <c r="C35" s="33">
        <f>Watchlist!J19</f>
        <v/>
      </c>
      <c r="D35" s="33">
        <f>Watchlist!M19</f>
        <v/>
      </c>
      <c r="E35" s="33">
        <f>Watchlist!U19</f>
        <v/>
      </c>
      <c r="F35" t="inlineStr">
        <is>
          <t>analyst mean</t>
        </is>
      </c>
      <c r="G35" s="34" t="n">
        <v>29</v>
      </c>
      <c r="H35">
        <f>Watchlist!AC19</f>
        <v/>
      </c>
      <c r="I35" s="35">
        <f>IFERROR(D35/C35-1,0)</f>
        <v/>
      </c>
      <c r="J35" s="35">
        <f>IFERROR(1-E35/C35,0)</f>
        <v/>
      </c>
      <c r="K35" s="36">
        <f>IF(J35&lt;=0,0,MAX(I35,0)/J35)</f>
        <v/>
      </c>
      <c r="L35" s="37">
        <f>IFERROR(PERCENTRANK($I$5:$I$53,I35),0)</f>
        <v/>
      </c>
      <c r="M35" s="37">
        <f>IFERROR(PERCENTRANK($K$5:$K$53,K35),0)</f>
        <v/>
      </c>
      <c r="N35" s="37">
        <f>IF(ISNUMBER(G35),G35,Inputs!$B$24)/100</f>
        <v/>
      </c>
      <c r="O35" s="36">
        <f>100*(Inputs!$B$20*L35+Inputs!$B$21*M35+Inputs!$B$22*N35)*IF(F35="LOW",1-Inputs!$B$23,1)</f>
        <v/>
      </c>
      <c r="P35" s="3">
        <f>RANK(O35,$O$5:$O$53)+COUNTIF($O$5:O34,O35)</f>
        <v/>
      </c>
    </row>
    <row r="36">
      <c r="A36" s="20" t="inlineStr">
        <is>
          <t>NBIX</t>
        </is>
      </c>
      <c r="B36" t="inlineStr">
        <is>
          <t>Buy Zone</t>
        </is>
      </c>
      <c r="C36" s="33">
        <f>Watchlist!J20</f>
        <v/>
      </c>
      <c r="D36" s="33">
        <f>Watchlist!M20</f>
        <v/>
      </c>
      <c r="E36" s="33">
        <f>Watchlist!U20</f>
        <v/>
      </c>
      <c r="F36" t="inlineStr">
        <is>
          <t>analyst mean</t>
        </is>
      </c>
      <c r="G36" s="34" t="n">
        <v>29</v>
      </c>
      <c r="H36">
        <f>Watchlist!AC20</f>
        <v/>
      </c>
      <c r="I36" s="35">
        <f>IFERROR(D36/C36-1,0)</f>
        <v/>
      </c>
      <c r="J36" s="35">
        <f>IFERROR(1-E36/C36,0)</f>
        <v/>
      </c>
      <c r="K36" s="36">
        <f>IF(J36&lt;=0,0,MAX(I36,0)/J36)</f>
        <v/>
      </c>
      <c r="L36" s="37">
        <f>IFERROR(PERCENTRANK($I$5:$I$53,I36),0)</f>
        <v/>
      </c>
      <c r="M36" s="37">
        <f>IFERROR(PERCENTRANK($K$5:$K$53,K36),0)</f>
        <v/>
      </c>
      <c r="N36" s="37">
        <f>IF(ISNUMBER(G36),G36,Inputs!$B$24)/100</f>
        <v/>
      </c>
      <c r="O36" s="36">
        <f>100*(Inputs!$B$20*L36+Inputs!$B$21*M36+Inputs!$B$22*N36)*IF(F36="LOW",1-Inputs!$B$23,1)</f>
        <v/>
      </c>
      <c r="P36" s="3">
        <f>RANK(O36,$O$5:$O$53)+COUNTIF($O$5:O35,O36)</f>
        <v/>
      </c>
    </row>
    <row r="37">
      <c r="A37" s="20" t="inlineStr">
        <is>
          <t>ADBE</t>
        </is>
      </c>
      <c r="B37" t="inlineStr">
        <is>
          <t>Buy Zone</t>
        </is>
      </c>
      <c r="C37" s="33">
        <f>Watchlist!J22</f>
        <v/>
      </c>
      <c r="D37" s="33">
        <f>Watchlist!M22</f>
        <v/>
      </c>
      <c r="E37" s="33">
        <f>Watchlist!U22</f>
        <v/>
      </c>
      <c r="F37" t="inlineStr">
        <is>
          <t>analyst mean</t>
        </is>
      </c>
      <c r="G37" s="34" t="n">
        <v>29</v>
      </c>
      <c r="H37">
        <f>Watchlist!AC22</f>
        <v/>
      </c>
      <c r="I37" s="35">
        <f>IFERROR(D37/C37-1,0)</f>
        <v/>
      </c>
      <c r="J37" s="35">
        <f>IFERROR(1-E37/C37,0)</f>
        <v/>
      </c>
      <c r="K37" s="36">
        <f>IF(J37&lt;=0,0,MAX(I37,0)/J37)</f>
        <v/>
      </c>
      <c r="L37" s="37">
        <f>IFERROR(PERCENTRANK($I$5:$I$53,I37),0)</f>
        <v/>
      </c>
      <c r="M37" s="37">
        <f>IFERROR(PERCENTRANK($K$5:$K$53,K37),0)</f>
        <v/>
      </c>
      <c r="N37" s="37">
        <f>IF(ISNUMBER(G37),G37,Inputs!$B$24)/100</f>
        <v/>
      </c>
      <c r="O37" s="36">
        <f>100*(Inputs!$B$20*L37+Inputs!$B$21*M37+Inputs!$B$22*N37)*IF(F37="LOW",1-Inputs!$B$23,1)</f>
        <v/>
      </c>
      <c r="P37" s="3">
        <f>RANK(O37,$O$5:$O$53)+COUNTIF($O$5:O36,O37)</f>
        <v/>
      </c>
    </row>
    <row r="38">
      <c r="A38" s="20" t="inlineStr">
        <is>
          <t>PAC</t>
        </is>
      </c>
      <c r="B38" t="inlineStr">
        <is>
          <t>Buy Zone</t>
        </is>
      </c>
      <c r="C38" s="33">
        <f>Watchlist!J23</f>
        <v/>
      </c>
      <c r="D38" s="33">
        <f>Watchlist!M23</f>
        <v/>
      </c>
      <c r="E38" s="33">
        <f>Watchlist!U23</f>
        <v/>
      </c>
      <c r="F38" t="inlineStr">
        <is>
          <t>analyst mean</t>
        </is>
      </c>
      <c r="G38" s="34" t="n">
        <v>0</v>
      </c>
      <c r="H38">
        <f>Watchlist!AC23</f>
        <v/>
      </c>
      <c r="I38" s="35">
        <f>IFERROR(D38/C38-1,0)</f>
        <v/>
      </c>
      <c r="J38" s="35">
        <f>IFERROR(1-E38/C38,0)</f>
        <v/>
      </c>
      <c r="K38" s="36">
        <f>IF(J38&lt;=0,0,MAX(I38,0)/J38)</f>
        <v/>
      </c>
      <c r="L38" s="37">
        <f>IFERROR(PERCENTRANK($I$5:$I$53,I38),0)</f>
        <v/>
      </c>
      <c r="M38" s="37">
        <f>IFERROR(PERCENTRANK($K$5:$K$53,K38),0)</f>
        <v/>
      </c>
      <c r="N38" s="37">
        <f>IF(ISNUMBER(G38),G38,Inputs!$B$24)/100</f>
        <v/>
      </c>
      <c r="O38" s="36">
        <f>100*(Inputs!$B$20*L38+Inputs!$B$21*M38+Inputs!$B$22*N38)*IF(F38="LOW",1-Inputs!$B$23,1)</f>
        <v/>
      </c>
      <c r="P38" s="3">
        <f>RANK(O38,$O$5:$O$53)+COUNTIF($O$5:O37,O38)</f>
        <v/>
      </c>
    </row>
    <row r="39">
      <c r="A39" s="20" t="inlineStr">
        <is>
          <t>PSA</t>
        </is>
      </c>
      <c r="B39" t="inlineStr">
        <is>
          <t>Buy Zone</t>
        </is>
      </c>
      <c r="C39" s="33">
        <f>Watchlist!J24</f>
        <v/>
      </c>
      <c r="D39" s="33">
        <f>Watchlist!M24</f>
        <v/>
      </c>
      <c r="E39" s="33">
        <f>Watchlist!U24</f>
        <v/>
      </c>
      <c r="F39" t="inlineStr">
        <is>
          <t>analyst mean</t>
        </is>
      </c>
      <c r="G39" s="34" t="n">
        <v>0</v>
      </c>
      <c r="H39">
        <f>Watchlist!AC24</f>
        <v/>
      </c>
      <c r="I39" s="35">
        <f>IFERROR(D39/C39-1,0)</f>
        <v/>
      </c>
      <c r="J39" s="35">
        <f>IFERROR(1-E39/C39,0)</f>
        <v/>
      </c>
      <c r="K39" s="36">
        <f>IF(J39&lt;=0,0,MAX(I39,0)/J39)</f>
        <v/>
      </c>
      <c r="L39" s="37">
        <f>IFERROR(PERCENTRANK($I$5:$I$53,I39),0)</f>
        <v/>
      </c>
      <c r="M39" s="37">
        <f>IFERROR(PERCENTRANK($K$5:$K$53,K39),0)</f>
        <v/>
      </c>
      <c r="N39" s="37">
        <f>IF(ISNUMBER(G39),G39,Inputs!$B$24)/100</f>
        <v/>
      </c>
      <c r="O39" s="36">
        <f>100*(Inputs!$B$20*L39+Inputs!$B$21*M39+Inputs!$B$22*N39)*IF(F39="LOW",1-Inputs!$B$23,1)</f>
        <v/>
      </c>
      <c r="P39" s="3">
        <f>RANK(O39,$O$5:$O$53)+COUNTIF($O$5:O38,O39)</f>
        <v/>
      </c>
    </row>
    <row r="40">
      <c r="A40" s="20" t="inlineStr">
        <is>
          <t>ISRG</t>
        </is>
      </c>
      <c r="B40" t="inlineStr">
        <is>
          <t>Buy Zone</t>
        </is>
      </c>
      <c r="C40" s="33">
        <f>Watchlist!J25</f>
        <v/>
      </c>
      <c r="D40" s="33">
        <f>Watchlist!M25</f>
        <v/>
      </c>
      <c r="E40" s="33">
        <f>Watchlist!U25</f>
        <v/>
      </c>
      <c r="F40" t="inlineStr">
        <is>
          <t>analyst mean</t>
        </is>
      </c>
      <c r="G40" s="34" t="n">
        <v>0</v>
      </c>
      <c r="H40">
        <f>Watchlist!AC25</f>
        <v/>
      </c>
      <c r="I40" s="35">
        <f>IFERROR(D40/C40-1,0)</f>
        <v/>
      </c>
      <c r="J40" s="35">
        <f>IFERROR(1-E40/C40,0)</f>
        <v/>
      </c>
      <c r="K40" s="36">
        <f>IF(J40&lt;=0,0,MAX(I40,0)/J40)</f>
        <v/>
      </c>
      <c r="L40" s="37">
        <f>IFERROR(PERCENTRANK($I$5:$I$53,I40),0)</f>
        <v/>
      </c>
      <c r="M40" s="37">
        <f>IFERROR(PERCENTRANK($K$5:$K$53,K40),0)</f>
        <v/>
      </c>
      <c r="N40" s="37">
        <f>IF(ISNUMBER(G40),G40,Inputs!$B$24)/100</f>
        <v/>
      </c>
      <c r="O40" s="36">
        <f>100*(Inputs!$B$20*L40+Inputs!$B$21*M40+Inputs!$B$22*N40)*IF(F40="LOW",1-Inputs!$B$23,1)</f>
        <v/>
      </c>
      <c r="P40" s="3">
        <f>RANK(O40,$O$5:$O$53)+COUNTIF($O$5:O39,O40)</f>
        <v/>
      </c>
    </row>
    <row r="41">
      <c r="A41" s="20" t="inlineStr">
        <is>
          <t>TROW</t>
        </is>
      </c>
      <c r="B41" t="inlineStr">
        <is>
          <t>Buy Zone</t>
        </is>
      </c>
      <c r="C41" s="33">
        <f>Watchlist!J26</f>
        <v/>
      </c>
      <c r="D41" s="33">
        <f>Watchlist!M26</f>
        <v/>
      </c>
      <c r="E41" s="33">
        <f>Watchlist!U26</f>
        <v/>
      </c>
      <c r="F41" t="inlineStr">
        <is>
          <t>analyst mean</t>
        </is>
      </c>
      <c r="G41" s="34" t="n">
        <v>0</v>
      </c>
      <c r="H41">
        <f>Watchlist!AC26</f>
        <v/>
      </c>
      <c r="I41" s="35">
        <f>IFERROR(D41/C41-1,0)</f>
        <v/>
      </c>
      <c r="J41" s="35">
        <f>IFERROR(1-E41/C41,0)</f>
        <v/>
      </c>
      <c r="K41" s="36">
        <f>IF(J41&lt;=0,0,MAX(I41,0)/J41)</f>
        <v/>
      </c>
      <c r="L41" s="37">
        <f>IFERROR(PERCENTRANK($I$5:$I$53,I41),0)</f>
        <v/>
      </c>
      <c r="M41" s="37">
        <f>IFERROR(PERCENTRANK($K$5:$K$53,K41),0)</f>
        <v/>
      </c>
      <c r="N41" s="37">
        <f>IF(ISNUMBER(G41),G41,Inputs!$B$24)/100</f>
        <v/>
      </c>
      <c r="O41" s="36">
        <f>100*(Inputs!$B$20*L41+Inputs!$B$21*M41+Inputs!$B$22*N41)*IF(F41="LOW",1-Inputs!$B$23,1)</f>
        <v/>
      </c>
      <c r="P41" s="3">
        <f>RANK(O41,$O$5:$O$53)+COUNTIF($O$5:O40,O41)</f>
        <v/>
      </c>
    </row>
    <row r="42">
      <c r="A42" s="20" t="inlineStr">
        <is>
          <t>SKHY</t>
        </is>
      </c>
      <c r="B42" t="inlineStr">
        <is>
          <t>Buy Zone</t>
        </is>
      </c>
      <c r="C42" s="33">
        <f>Watchlist!J27</f>
        <v/>
      </c>
      <c r="D42" s="33">
        <f>Watchlist!M27</f>
        <v/>
      </c>
      <c r="E42" s="33">
        <f>Watchlist!U27</f>
        <v/>
      </c>
      <c r="F42" t="inlineStr">
        <is>
          <t>analyst mean</t>
        </is>
      </c>
      <c r="G42" s="34" t="inlineStr">
        <is>
          <t>n/a</t>
        </is>
      </c>
      <c r="H42">
        <f>Watchlist!AC27</f>
        <v/>
      </c>
      <c r="I42" s="35">
        <f>IFERROR(D42/C42-1,0)</f>
        <v/>
      </c>
      <c r="J42" s="35">
        <f>IFERROR(1-E42/C42,0)</f>
        <v/>
      </c>
      <c r="K42" s="36">
        <f>IF(J42&lt;=0,0,MAX(I42,0)/J42)</f>
        <v/>
      </c>
      <c r="L42" s="37">
        <f>IFERROR(PERCENTRANK($I$5:$I$53,I42),0)</f>
        <v/>
      </c>
      <c r="M42" s="37">
        <f>IFERROR(PERCENTRANK($K$5:$K$53,K42),0)</f>
        <v/>
      </c>
      <c r="N42" s="37">
        <f>IF(ISNUMBER(G42),G42,Inputs!$B$24)/100</f>
        <v/>
      </c>
      <c r="O42" s="36">
        <f>100*(Inputs!$B$20*L42+Inputs!$B$21*M42+Inputs!$B$22*N42)*IF(F42="LOW",1-Inputs!$B$23,1)</f>
        <v/>
      </c>
      <c r="P42" s="3">
        <f>RANK(O42,$O$5:$O$53)+COUNTIF($O$5:O41,O42)</f>
        <v/>
      </c>
    </row>
    <row r="43">
      <c r="A43" s="20" t="inlineStr">
        <is>
          <t>MOD</t>
        </is>
      </c>
      <c r="B43" t="inlineStr">
        <is>
          <t>Re-buy</t>
        </is>
      </c>
      <c r="C43" s="33">
        <f>Watchlist!J28</f>
        <v/>
      </c>
      <c r="D43" s="33">
        <f>Watchlist!M28</f>
        <v/>
      </c>
      <c r="E43" s="33">
        <f>Watchlist!U28</f>
        <v/>
      </c>
      <c r="F43" t="inlineStr">
        <is>
          <t>analyst mean</t>
        </is>
      </c>
      <c r="G43" s="34" t="inlineStr">
        <is>
          <t>n/a</t>
        </is>
      </c>
      <c r="H43">
        <f>Watchlist!AC28</f>
        <v/>
      </c>
      <c r="I43" s="35">
        <f>IFERROR(D43/C43-1,0)</f>
        <v/>
      </c>
      <c r="J43" s="35">
        <f>IFERROR(1-E43/C43,0)</f>
        <v/>
      </c>
      <c r="K43" s="36">
        <f>IF(J43&lt;=0,0,MAX(I43,0)/J43)</f>
        <v/>
      </c>
      <c r="L43" s="37">
        <f>IFERROR(PERCENTRANK($I$5:$I$53,I43),0)</f>
        <v/>
      </c>
      <c r="M43" s="37">
        <f>IFERROR(PERCENTRANK($K$5:$K$53,K43),0)</f>
        <v/>
      </c>
      <c r="N43" s="37">
        <f>IF(ISNUMBER(G43),G43,Inputs!$B$24)/100</f>
        <v/>
      </c>
      <c r="O43" s="36">
        <f>100*(Inputs!$B$20*L43+Inputs!$B$21*M43+Inputs!$B$22*N43)*IF(F43="LOW",1-Inputs!$B$23,1)</f>
        <v/>
      </c>
      <c r="P43" s="3">
        <f>RANK(O43,$O$5:$O$53)+COUNTIF($O$5:O42,O43)</f>
        <v/>
      </c>
    </row>
    <row r="44">
      <c r="A44" s="20" t="inlineStr">
        <is>
          <t>SPG</t>
        </is>
      </c>
      <c r="B44" t="inlineStr">
        <is>
          <t>New industry</t>
        </is>
      </c>
      <c r="C44" s="33">
        <f>Watchlist!J29</f>
        <v/>
      </c>
      <c r="D44" s="33">
        <f>Watchlist!M29</f>
        <v/>
      </c>
      <c r="E44" s="33">
        <f>Watchlist!U29</f>
        <v/>
      </c>
      <c r="F44" t="inlineStr">
        <is>
          <t>analyst mean</t>
        </is>
      </c>
      <c r="G44" s="34" t="inlineStr">
        <is>
          <t>n/a</t>
        </is>
      </c>
      <c r="H44">
        <f>Watchlist!AC29</f>
        <v/>
      </c>
      <c r="I44" s="35">
        <f>IFERROR(D44/C44-1,0)</f>
        <v/>
      </c>
      <c r="J44" s="35">
        <f>IFERROR(1-E44/C44,0)</f>
        <v/>
      </c>
      <c r="K44" s="36">
        <f>IF(J44&lt;=0,0,MAX(I44,0)/J44)</f>
        <v/>
      </c>
      <c r="L44" s="37">
        <f>IFERROR(PERCENTRANK($I$5:$I$53,I44),0)</f>
        <v/>
      </c>
      <c r="M44" s="37">
        <f>IFERROR(PERCENTRANK($K$5:$K$53,K44),0)</f>
        <v/>
      </c>
      <c r="N44" s="37">
        <f>IF(ISNUMBER(G44),G44,Inputs!$B$24)/100</f>
        <v/>
      </c>
      <c r="O44" s="36">
        <f>100*(Inputs!$B$20*L44+Inputs!$B$21*M44+Inputs!$B$22*N44)*IF(F44="LOW",1-Inputs!$B$23,1)</f>
        <v/>
      </c>
      <c r="P44" s="3">
        <f>RANK(O44,$O$5:$O$53)+COUNTIF($O$5:O43,O44)</f>
        <v/>
      </c>
    </row>
    <row r="45">
      <c r="A45" s="20" t="inlineStr">
        <is>
          <t>MNST</t>
        </is>
      </c>
      <c r="B45" t="inlineStr">
        <is>
          <t>New industry</t>
        </is>
      </c>
      <c r="C45" s="33">
        <f>Watchlist!J30</f>
        <v/>
      </c>
      <c r="D45" s="33">
        <f>Watchlist!M30</f>
        <v/>
      </c>
      <c r="E45" s="33">
        <f>Watchlist!U30</f>
        <v/>
      </c>
      <c r="F45" t="inlineStr">
        <is>
          <t>analyst mean</t>
        </is>
      </c>
      <c r="G45" s="34" t="inlineStr">
        <is>
          <t>n/a</t>
        </is>
      </c>
      <c r="H45">
        <f>Watchlist!AC30</f>
        <v/>
      </c>
      <c r="I45" s="35">
        <f>IFERROR(D45/C45-1,0)</f>
        <v/>
      </c>
      <c r="J45" s="35">
        <f>IFERROR(1-E45/C45,0)</f>
        <v/>
      </c>
      <c r="K45" s="36">
        <f>IF(J45&lt;=0,0,MAX(I45,0)/J45)</f>
        <v/>
      </c>
      <c r="L45" s="37">
        <f>IFERROR(PERCENTRANK($I$5:$I$53,I45),0)</f>
        <v/>
      </c>
      <c r="M45" s="37">
        <f>IFERROR(PERCENTRANK($K$5:$K$53,K45),0)</f>
        <v/>
      </c>
      <c r="N45" s="37">
        <f>IF(ISNUMBER(G45),G45,Inputs!$B$24)/100</f>
        <v/>
      </c>
      <c r="O45" s="36">
        <f>100*(Inputs!$B$20*L45+Inputs!$B$21*M45+Inputs!$B$22*N45)*IF(F45="LOW",1-Inputs!$B$23,1)</f>
        <v/>
      </c>
      <c r="P45" s="3">
        <f>RANK(O45,$O$5:$O$53)+COUNTIF($O$5:O44,O45)</f>
        <v/>
      </c>
    </row>
    <row r="46">
      <c r="A46" s="20" t="inlineStr">
        <is>
          <t>INCY</t>
        </is>
      </c>
      <c r="B46" t="inlineStr">
        <is>
          <t>New industry</t>
        </is>
      </c>
      <c r="C46" s="33">
        <f>Watchlist!J31</f>
        <v/>
      </c>
      <c r="D46" s="33">
        <f>Watchlist!M31</f>
        <v/>
      </c>
      <c r="E46" s="33">
        <f>Watchlist!U31</f>
        <v/>
      </c>
      <c r="F46" t="inlineStr">
        <is>
          <t>analyst mean</t>
        </is>
      </c>
      <c r="G46" s="34" t="inlineStr">
        <is>
          <t>n/a</t>
        </is>
      </c>
      <c r="H46">
        <f>Watchlist!AC31</f>
        <v/>
      </c>
      <c r="I46" s="35">
        <f>IFERROR(D46/C46-1,0)</f>
        <v/>
      </c>
      <c r="J46" s="35">
        <f>IFERROR(1-E46/C46,0)</f>
        <v/>
      </c>
      <c r="K46" s="36">
        <f>IF(J46&lt;=0,0,MAX(I46,0)/J46)</f>
        <v/>
      </c>
      <c r="L46" s="37">
        <f>IFERROR(PERCENTRANK($I$5:$I$53,I46),0)</f>
        <v/>
      </c>
      <c r="M46" s="37">
        <f>IFERROR(PERCENTRANK($K$5:$K$53,K46),0)</f>
        <v/>
      </c>
      <c r="N46" s="37">
        <f>IF(ISNUMBER(G46),G46,Inputs!$B$24)/100</f>
        <v/>
      </c>
      <c r="O46" s="36">
        <f>100*(Inputs!$B$20*L46+Inputs!$B$21*M46+Inputs!$B$22*N46)*IF(F46="LOW",1-Inputs!$B$23,1)</f>
        <v/>
      </c>
      <c r="P46" s="3">
        <f>RANK(O46,$O$5:$O$53)+COUNTIF($O$5:O45,O46)</f>
        <v/>
      </c>
    </row>
    <row r="47">
      <c r="A47" s="20" t="inlineStr">
        <is>
          <t>ANET</t>
        </is>
      </c>
      <c r="B47" t="inlineStr">
        <is>
          <t>New industry</t>
        </is>
      </c>
      <c r="C47" s="33">
        <f>Watchlist!J32</f>
        <v/>
      </c>
      <c r="D47" s="33">
        <f>Watchlist!M32</f>
        <v/>
      </c>
      <c r="E47" s="33">
        <f>Watchlist!U32</f>
        <v/>
      </c>
      <c r="F47" t="inlineStr">
        <is>
          <t>analyst mean</t>
        </is>
      </c>
      <c r="G47" s="34" t="inlineStr">
        <is>
          <t>n/a</t>
        </is>
      </c>
      <c r="H47">
        <f>Watchlist!AC32</f>
        <v/>
      </c>
      <c r="I47" s="35">
        <f>IFERROR(D47/C47-1,0)</f>
        <v/>
      </c>
      <c r="J47" s="35">
        <f>IFERROR(1-E47/C47,0)</f>
        <v/>
      </c>
      <c r="K47" s="36">
        <f>IF(J47&lt;=0,0,MAX(I47,0)/J47)</f>
        <v/>
      </c>
      <c r="L47" s="37">
        <f>IFERROR(PERCENTRANK($I$5:$I$53,I47),0)</f>
        <v/>
      </c>
      <c r="M47" s="37">
        <f>IFERROR(PERCENTRANK($K$5:$K$53,K47),0)</f>
        <v/>
      </c>
      <c r="N47" s="37">
        <f>IF(ISNUMBER(G47),G47,Inputs!$B$24)/100</f>
        <v/>
      </c>
      <c r="O47" s="36">
        <f>100*(Inputs!$B$20*L47+Inputs!$B$21*M47+Inputs!$B$22*N47)*IF(F47="LOW",1-Inputs!$B$23,1)</f>
        <v/>
      </c>
      <c r="P47" s="3">
        <f>RANK(O47,$O$5:$O$53)+COUNTIF($O$5:O46,O47)</f>
        <v/>
      </c>
    </row>
    <row r="48">
      <c r="A48" s="20" t="inlineStr">
        <is>
          <t>UNP</t>
        </is>
      </c>
      <c r="B48" t="inlineStr">
        <is>
          <t>New industry</t>
        </is>
      </c>
      <c r="C48" s="33">
        <f>Watchlist!J33</f>
        <v/>
      </c>
      <c r="D48" s="33">
        <f>Watchlist!M33</f>
        <v/>
      </c>
      <c r="E48" s="33">
        <f>Watchlist!U33</f>
        <v/>
      </c>
      <c r="F48" t="inlineStr">
        <is>
          <t>analyst mean</t>
        </is>
      </c>
      <c r="G48" s="34" t="inlineStr">
        <is>
          <t>n/a</t>
        </is>
      </c>
      <c r="H48">
        <f>Watchlist!AC33</f>
        <v/>
      </c>
      <c r="I48" s="35">
        <f>IFERROR(D48/C48-1,0)</f>
        <v/>
      </c>
      <c r="J48" s="35">
        <f>IFERROR(1-E48/C48,0)</f>
        <v/>
      </c>
      <c r="K48" s="36">
        <f>IF(J48&lt;=0,0,MAX(I48,0)/J48)</f>
        <v/>
      </c>
      <c r="L48" s="37">
        <f>IFERROR(PERCENTRANK($I$5:$I$53,I48),0)</f>
        <v/>
      </c>
      <c r="M48" s="37">
        <f>IFERROR(PERCENTRANK($K$5:$K$53,K48),0)</f>
        <v/>
      </c>
      <c r="N48" s="37">
        <f>IF(ISNUMBER(G48),G48,Inputs!$B$24)/100</f>
        <v/>
      </c>
      <c r="O48" s="36">
        <f>100*(Inputs!$B$20*L48+Inputs!$B$21*M48+Inputs!$B$22*N48)*IF(F48="LOW",1-Inputs!$B$23,1)</f>
        <v/>
      </c>
      <c r="P48" s="3">
        <f>RANK(O48,$O$5:$O$53)+COUNTIF($O$5:O47,O48)</f>
        <v/>
      </c>
    </row>
    <row r="49">
      <c r="A49" s="20" t="inlineStr">
        <is>
          <t>VRTX</t>
        </is>
      </c>
      <c r="B49" t="inlineStr">
        <is>
          <t>New industry</t>
        </is>
      </c>
      <c r="C49" s="33">
        <f>Watchlist!J34</f>
        <v/>
      </c>
      <c r="D49" s="33">
        <f>Watchlist!M34</f>
        <v/>
      </c>
      <c r="E49" s="33">
        <f>Watchlist!U34</f>
        <v/>
      </c>
      <c r="F49" t="inlineStr">
        <is>
          <t>analyst mean</t>
        </is>
      </c>
      <c r="G49" s="34" t="inlineStr">
        <is>
          <t>n/a</t>
        </is>
      </c>
      <c r="H49">
        <f>Watchlist!AC34</f>
        <v/>
      </c>
      <c r="I49" s="35">
        <f>IFERROR(D49/C49-1,0)</f>
        <v/>
      </c>
      <c r="J49" s="35">
        <f>IFERROR(1-E49/C49,0)</f>
        <v/>
      </c>
      <c r="K49" s="36">
        <f>IF(J49&lt;=0,0,MAX(I49,0)/J49)</f>
        <v/>
      </c>
      <c r="L49" s="37">
        <f>IFERROR(PERCENTRANK($I$5:$I$53,I49),0)</f>
        <v/>
      </c>
      <c r="M49" s="37">
        <f>IFERROR(PERCENTRANK($K$5:$K$53,K49),0)</f>
        <v/>
      </c>
      <c r="N49" s="37">
        <f>IF(ISNUMBER(G49),G49,Inputs!$B$24)/100</f>
        <v/>
      </c>
      <c r="O49" s="36">
        <f>100*(Inputs!$B$20*L49+Inputs!$B$21*M49+Inputs!$B$22*N49)*IF(F49="LOW",1-Inputs!$B$23,1)</f>
        <v/>
      </c>
      <c r="P49" s="3">
        <f>RANK(O49,$O$5:$O$53)+COUNTIF($O$5:O48,O49)</f>
        <v/>
      </c>
    </row>
    <row r="50">
      <c r="A50" s="20" t="inlineStr">
        <is>
          <t>CPAY</t>
        </is>
      </c>
      <c r="B50" t="inlineStr">
        <is>
          <t>New industry</t>
        </is>
      </c>
      <c r="C50" s="33">
        <f>Watchlist!J35</f>
        <v/>
      </c>
      <c r="D50" s="33">
        <f>Watchlist!M35</f>
        <v/>
      </c>
      <c r="E50" s="33">
        <f>Watchlist!U35</f>
        <v/>
      </c>
      <c r="F50" t="inlineStr">
        <is>
          <t>analyst mean</t>
        </is>
      </c>
      <c r="G50" s="34" t="inlineStr">
        <is>
          <t>n/a</t>
        </is>
      </c>
      <c r="H50">
        <f>Watchlist!AC35</f>
        <v/>
      </c>
      <c r="I50" s="35">
        <f>IFERROR(D50/C50-1,0)</f>
        <v/>
      </c>
      <c r="J50" s="35">
        <f>IFERROR(1-E50/C50,0)</f>
        <v/>
      </c>
      <c r="K50" s="36">
        <f>IF(J50&lt;=0,0,MAX(I50,0)/J50)</f>
        <v/>
      </c>
      <c r="L50" s="37">
        <f>IFERROR(PERCENTRANK($I$5:$I$53,I50),0)</f>
        <v/>
      </c>
      <c r="M50" s="37">
        <f>IFERROR(PERCENTRANK($K$5:$K$53,K50),0)</f>
        <v/>
      </c>
      <c r="N50" s="37">
        <f>IF(ISNUMBER(G50),G50,Inputs!$B$24)/100</f>
        <v/>
      </c>
      <c r="O50" s="36">
        <f>100*(Inputs!$B$20*L50+Inputs!$B$21*M50+Inputs!$B$22*N50)*IF(F50="LOW",1-Inputs!$B$23,1)</f>
        <v/>
      </c>
      <c r="P50" s="3">
        <f>RANK(O50,$O$5:$O$53)+COUNTIF($O$5:O49,O50)</f>
        <v/>
      </c>
    </row>
    <row r="51">
      <c r="A51" s="20" t="inlineStr">
        <is>
          <t>AFRM</t>
        </is>
      </c>
      <c r="B51" t="inlineStr">
        <is>
          <t>New industry</t>
        </is>
      </c>
      <c r="C51" s="33">
        <f>Watchlist!J36</f>
        <v/>
      </c>
      <c r="D51" s="33">
        <f>Watchlist!M36</f>
        <v/>
      </c>
      <c r="E51" s="33">
        <f>Watchlist!U36</f>
        <v/>
      </c>
      <c r="F51" t="inlineStr">
        <is>
          <t>analyst mean</t>
        </is>
      </c>
      <c r="G51" s="34" t="inlineStr">
        <is>
          <t>n/a</t>
        </is>
      </c>
      <c r="H51">
        <f>Watchlist!AC36</f>
        <v/>
      </c>
      <c r="I51" s="35">
        <f>IFERROR(D51/C51-1,0)</f>
        <v/>
      </c>
      <c r="J51" s="35">
        <f>IFERROR(1-E51/C51,0)</f>
        <v/>
      </c>
      <c r="K51" s="36">
        <f>IF(J51&lt;=0,0,MAX(I51,0)/J51)</f>
        <v/>
      </c>
      <c r="L51" s="37">
        <f>IFERROR(PERCENTRANK($I$5:$I$53,I51),0)</f>
        <v/>
      </c>
      <c r="M51" s="37">
        <f>IFERROR(PERCENTRANK($K$5:$K$53,K51),0)</f>
        <v/>
      </c>
      <c r="N51" s="37">
        <f>IF(ISNUMBER(G51),G51,Inputs!$B$24)/100</f>
        <v/>
      </c>
      <c r="O51" s="36">
        <f>100*(Inputs!$B$20*L51+Inputs!$B$21*M51+Inputs!$B$22*N51)*IF(F51="LOW",1-Inputs!$B$23,1)</f>
        <v/>
      </c>
      <c r="P51" s="3">
        <f>RANK(O51,$O$5:$O$53)+COUNTIF($O$5:O50,O51)</f>
        <v/>
      </c>
    </row>
    <row r="52">
      <c r="A52" s="20" t="inlineStr">
        <is>
          <t>AAPL</t>
        </is>
      </c>
      <c r="B52" t="inlineStr">
        <is>
          <t>New industry</t>
        </is>
      </c>
      <c r="C52" s="33">
        <f>Watchlist!J37</f>
        <v/>
      </c>
      <c r="D52" s="33">
        <f>Watchlist!M37</f>
        <v/>
      </c>
      <c r="E52" s="33">
        <f>Watchlist!U37</f>
        <v/>
      </c>
      <c r="F52" t="inlineStr">
        <is>
          <t>analyst mean</t>
        </is>
      </c>
      <c r="G52" s="34" t="inlineStr">
        <is>
          <t>n/a</t>
        </is>
      </c>
      <c r="H52">
        <f>Watchlist!AC37</f>
        <v/>
      </c>
      <c r="I52" s="35">
        <f>IFERROR(D52/C52-1,0)</f>
        <v/>
      </c>
      <c r="J52" s="35">
        <f>IFERROR(1-E52/C52,0)</f>
        <v/>
      </c>
      <c r="K52" s="36">
        <f>IF(J52&lt;=0,0,MAX(I52,0)/J52)</f>
        <v/>
      </c>
      <c r="L52" s="37">
        <f>IFERROR(PERCENTRANK($I$5:$I$53,I52),0)</f>
        <v/>
      </c>
      <c r="M52" s="37">
        <f>IFERROR(PERCENTRANK($K$5:$K$53,K52),0)</f>
        <v/>
      </c>
      <c r="N52" s="37">
        <f>IF(ISNUMBER(G52),G52,Inputs!$B$24)/100</f>
        <v/>
      </c>
      <c r="O52" s="36">
        <f>100*(Inputs!$B$20*L52+Inputs!$B$21*M52+Inputs!$B$22*N52)*IF(F52="LOW",1-Inputs!$B$23,1)</f>
        <v/>
      </c>
      <c r="P52" s="3">
        <f>RANK(O52,$O$5:$O$53)+COUNTIF($O$5:O51,O52)</f>
        <v/>
      </c>
    </row>
    <row r="53">
      <c r="A53" s="20" t="inlineStr">
        <is>
          <t>MA</t>
        </is>
      </c>
      <c r="B53" t="inlineStr">
        <is>
          <t>New industry</t>
        </is>
      </c>
      <c r="C53" s="33">
        <f>Watchlist!J38</f>
        <v/>
      </c>
      <c r="D53" s="33">
        <f>Watchlist!M38</f>
        <v/>
      </c>
      <c r="E53" s="33">
        <f>Watchlist!U38</f>
        <v/>
      </c>
      <c r="F53" t="inlineStr">
        <is>
          <t>analyst mean</t>
        </is>
      </c>
      <c r="G53" s="34" t="inlineStr">
        <is>
          <t>n/a</t>
        </is>
      </c>
      <c r="H53">
        <f>Watchlist!AC38</f>
        <v/>
      </c>
      <c r="I53" s="35">
        <f>IFERROR(D53/C53-1,0)</f>
        <v/>
      </c>
      <c r="J53" s="35">
        <f>IFERROR(1-E53/C53,0)</f>
        <v/>
      </c>
      <c r="K53" s="36">
        <f>IF(J53&lt;=0,0,MAX(I53,0)/J53)</f>
        <v/>
      </c>
      <c r="L53" s="37">
        <f>IFERROR(PERCENTRANK($I$5:$I$53,I53),0)</f>
        <v/>
      </c>
      <c r="M53" s="37">
        <f>IFERROR(PERCENTRANK($K$5:$K$53,K53),0)</f>
        <v/>
      </c>
      <c r="N53" s="37">
        <f>IF(ISNUMBER(G53),G53,Inputs!$B$24)/100</f>
        <v/>
      </c>
      <c r="O53" s="36">
        <f>100*(Inputs!$B$20*L53+Inputs!$B$21*M53+Inputs!$B$22*N53)*IF(F53="LOW",1-Inputs!$B$23,1)</f>
        <v/>
      </c>
      <c r="P53" s="3">
        <f>RANK(O53,$O$5:$O$53)+COUNTIF($O$5:O52,O53)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31" t="inlineStr">
        <is>
          <t>How the numbers are set</t>
        </is>
      </c>
    </row>
    <row r="2">
      <c r="A2" t="inlineStr">
        <is>
          <t>FINAL PRICE TARGET: the Quality @ 200-day routine's 3-method target (joint_price_targets.json):</t>
        </is>
      </c>
    </row>
    <row r="3">
      <c r="A3" t="inlineStr">
        <is>
          <t xml:space="preserve">  1 Fundamental = next-year consensus EPS/EBITDA/sales x the stock's own 5-yr median multiples;</t>
        </is>
      </c>
    </row>
    <row r="4">
      <c r="A4" t="inlineStr">
        <is>
          <t xml:space="preserve">  2 Robinhood mean analyst target; 3 median of dated major-firm analyst targets (&lt;=120 days old).</t>
        </is>
      </c>
    </row>
    <row r="5">
      <c r="A5" t="inlineStr">
        <is>
          <t xml:space="preserve">  Final = median of three, average of two, or one alone. Agreement HIGH/MED/LOW = how close the methods are.</t>
        </is>
      </c>
    </row>
    <row r="6">
      <c r="A6" t="inlineStr">
        <is>
          <t xml:space="preserve">  SOXL and AAOX have no analyst coverage: their target is the 50-day SMA (first overhead resistance).</t>
        </is>
      </c>
    </row>
    <row r="7">
      <c r="A7" t="inlineStr">
        <is>
          <t>SELL TARGET 1 = final target x Trim 1 %. Sell a third and re-check the thesis. A target hit is not an automatic exit.</t>
        </is>
      </c>
    </row>
    <row r="8">
      <c r="A8" t="inlineStr">
        <is>
          <t>SELL TARGET 2 = final target x (1 + stretch). Sell the second third; the last third rides the trailing stop.</t>
        </is>
      </c>
    </row>
    <row r="9">
      <c r="A9" t="inlineStr">
        <is>
          <t>DOWNSIDE REVIEW LEVEL = the higher of (60-day low less the buffer) and (cost less the max-loss %).</t>
        </is>
      </c>
    </row>
    <row r="10">
      <c r="A10" t="inlineStr">
        <is>
          <t xml:space="preserve">  Below it the trend has broken support: re-check the thesis and decide sell or hold. Not a stop order.</t>
        </is>
      </c>
    </row>
    <row r="11">
      <c r="A11" t="inlineStr">
        <is>
          <t>TRAILING STOP: shown once price &gt;= cost / (1 - trail %), i.e. +17.6% at 15%. = 60-day high x (1 - trail), never below cost.</t>
        </is>
      </c>
    </row>
    <row r="12">
      <c r="A12" t="inlineStr">
        <is>
          <t>REWARD : RISK = (sell target 1 - price) / (price - review level). Above ~2 is a favourable hold.</t>
        </is>
      </c>
    </row>
    <row r="13">
      <c r="A13" t="inlineStr">
        <is>
          <t>WATCHLIST (Watchlist sheet): the Quality @ 200-day routine's buy-zone names (business grade &gt;= 7/8, near the 200-day),</t>
        </is>
      </c>
    </row>
    <row r="14">
      <c r="A14" t="inlineStr">
        <is>
          <t xml:space="preserve">  ranked by pre-breakout chart setup (most pulled back first), plus the re-buy watch (MOD).</t>
        </is>
      </c>
    </row>
    <row r="15">
      <c r="A15" t="inlineStr">
        <is>
          <t xml:space="preserve">  BUY TARGET = 200-day SMA x (1 + entry offset). BUY ZONE = 200-day -8% to +5%. Below the zone = trend failed, wait for a reclaim.</t>
        </is>
      </c>
    </row>
    <row r="16">
      <c r="A16" t="inlineStr">
        <is>
          <t xml:space="preserve">  WATCH REVIEW LEVEL = bottom of the buy zone: where a new buy is wrong. UPSIDE / REWARD:RISK are measured from the buy target to the analyst mean target.</t>
        </is>
      </c>
    </row>
    <row r="17">
      <c r="A17" t="inlineStr">
        <is>
          <t xml:space="preserve">  STATUS is a prompt to research, not a buy order: every name still needs a news/thesis check and a wash-sale check before buying.</t>
        </is>
      </c>
    </row>
    <row r="18">
      <c r="A18" t="inlineStr">
        <is>
          <t>RANKINGS (Rankings tab): every held position worth &gt;= $100 and every watchlist name with a price target, best first.</t>
        </is>
      </c>
    </row>
    <row r="19">
      <c r="A19" t="inlineStr">
        <is>
          <t xml:space="preserve">  SCORE 0-100 = 40% growth (percentile of upside to the target) + 35% entry (percentile of upside / room down to the review</t>
        </is>
      </c>
    </row>
    <row r="20">
      <c r="A20" t="inlineStr">
        <is>
          <t xml:space="preserve">  level, at today's price) + 25% timing (pre-breakout chart score; names not scored yet count 50). LOW target agreement cuts it 15%.</t>
        </is>
      </c>
    </row>
    <row r="21">
      <c r="A21" t="inlineStr">
        <is>
          <t xml:space="preserve">  Weights are on the Inputs tab. Targets are ~12-month estimates, so 'shortest time' comes from the chart setup, whose</t>
        </is>
      </c>
    </row>
    <row r="22">
      <c r="A22" t="inlineStr">
        <is>
          <t xml:space="preserve">  backtest edge was measured over ~3 months (setups_results.md). A rank is a research order: check STATUS, news and wash-sale locks.</t>
        </is>
      </c>
    </row>
    <row r="23">
      <c r="A23" t="inlineStr"/>
    </row>
    <row r="24">
      <c r="A24" s="31" t="inlineStr">
        <is>
          <t>Sources</t>
        </is>
      </c>
    </row>
    <row r="25">
      <c r="A25" t="inlineStr">
        <is>
          <t>Positions, quotes, 50/200-day SMA, 60-day range, 52-wk high, analyst ratings, earnings dates: Robinhood, via joint_tracker_data.json.</t>
        </is>
      </c>
    </row>
    <row r="26">
      <c r="A26" t="inlineStr">
        <is>
          <t>Targets: joint_price_targets.json. Valuation and disruption: valuation.json. Chart setups: setups.json. Re-buy: rebuy_watch.json. Wash-sale dates: wash_sale_watch.json.</t>
        </is>
      </c>
    </row>
    <row r="27">
      <c r="A27" t="inlineStr"/>
    </row>
    <row r="28">
      <c r="A28" s="31" t="inlineStr">
        <is>
          <t>Not included</t>
        </is>
      </c>
    </row>
    <row r="29">
      <c r="A29" t="inlineStr">
        <is>
          <t>Holdings with no quote (e.g. EPIX^, 25 sh at $0 cost) are listed at the top of Holdings as Not priced.</t>
        </is>
      </c>
    </row>
    <row r="30">
      <c r="A30" t="inlineStr">
        <is>
          <t>Taxes: this is a taxable account. Check wash-sale lockouts (Robinhood list 'Wash-Sale Lockout') before selling at a loss and rebuying.</t>
        </is>
      </c>
    </row>
    <row r="31">
      <c r="A31" t="inlineStr"/>
    </row>
    <row r="32">
      <c r="A32" s="31" t="inlineStr">
        <is>
          <t>Refresh</t>
        </is>
      </c>
    </row>
    <row r="33">
      <c r="A33" t="inlineStr">
        <is>
          <t>The Quality @ 200-day routine (step 4f) refreshes joint_tracker_data.json and rebuilds this file each weekday. Edit blue cells for what-ifs; a rebuild overwrites them.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2026-10-30T15:15:18Z</dcterms:created>
  <dcterms:modified xmlns:dcterms="http://purl.org/dc/terms/" xmlns:xsi="http://www.w3.org/2001/XMLSchema-instance" xsi:type="dcterms:W3CDTF">2026-10-30T15:15:18Z</dcterms:modified>
</cp:coreProperties>
</file>