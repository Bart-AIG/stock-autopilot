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ethod" sheetId="3" state="visible" r:id="rId3"/>
  </sheets>
  <definedNames>
    <definedName name="_xlnm._FilterDatabase" localSheetId="0" hidden="1">'Holdings'!$A$5:$AP$25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71" fontId="0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0" customWidth="1" min="42" max="42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Close date:</t>
        </is>
      </c>
      <c r="D3" s="2">
        <f>Inputs!$B$5</f>
        <v/>
      </c>
    </row>
    <row r="5" ht="42" customHeight="1">
      <c r="A5" s="3" t="inlineStr">
        <is>
          <t>Symbol</t>
        </is>
      </c>
      <c r="B5" s="3" t="inlineStr">
        <is>
          <t>Company</t>
        </is>
      </c>
      <c r="C5" s="3" t="inlineStr">
        <is>
          <t>Type</t>
        </is>
      </c>
      <c r="D5" s="3" t="inlineStr">
        <is>
          <t>Sector</t>
        </is>
      </c>
      <c r="E5" s="3" t="inlineStr">
        <is>
          <t>Shares</t>
        </is>
      </c>
      <c r="F5" s="3" t="inlineStr">
        <is>
          <t>Avg Cost</t>
        </is>
      </c>
      <c r="G5" s="3" t="inlineStr">
        <is>
          <t>Close</t>
        </is>
      </c>
      <c r="H5" s="3" t="inlineStr">
        <is>
          <t>After-hrs</t>
        </is>
      </c>
      <c r="I5" s="3" t="inlineStr">
        <is>
          <t>50-day SMA</t>
        </is>
      </c>
      <c r="J5" s="3" t="inlineStr">
        <is>
          <t>200-day SMA</t>
        </is>
      </c>
      <c r="K5" s="3" t="inlineStr">
        <is>
          <t>60-day Low</t>
        </is>
      </c>
      <c r="L5" s="3" t="inlineStr">
        <is>
          <t>60-day High</t>
        </is>
      </c>
      <c r="M5" s="3" t="inlineStr">
        <is>
          <t>52-wk High</t>
        </is>
      </c>
      <c r="N5" s="3" t="inlineStr">
        <is>
          <t>Tgt: Fundamental</t>
        </is>
      </c>
      <c r="O5" s="3" t="inlineStr">
        <is>
          <t>Tgt: Robinhood</t>
        </is>
      </c>
      <c r="P5" s="3" t="inlineStr">
        <is>
          <t>Tgt: Analysts</t>
        </is>
      </c>
      <c r="Q5" s="3" t="inlineStr">
        <is>
          <t>FINAL Price Target</t>
        </is>
      </c>
      <c r="R5" s="3" t="inlineStr">
        <is>
          <t>Target Agreement</t>
        </is>
      </c>
      <c r="S5" s="3" t="inlineStr">
        <is>
          <t>Valuation</t>
        </is>
      </c>
      <c r="T5" s="3" t="inlineStr">
        <is>
          <t>Disruption</t>
        </is>
      </c>
      <c r="U5" s="3" t="inlineStr">
        <is>
          <t>Next Earnings</t>
        </is>
      </c>
      <c r="V5" s="4" t="inlineStr">
        <is>
          <t>Price Used</t>
        </is>
      </c>
      <c r="W5" s="4" t="inlineStr">
        <is>
          <t>Market Value</t>
        </is>
      </c>
      <c r="X5" s="4" t="inlineStr">
        <is>
          <t>Cost Basis</t>
        </is>
      </c>
      <c r="Y5" s="4" t="inlineStr">
        <is>
          <t>Unrealized P/L $</t>
        </is>
      </c>
      <c r="Z5" s="4" t="inlineStr">
        <is>
          <t>P/L %</t>
        </is>
      </c>
      <c r="AA5" s="4" t="inlineStr">
        <is>
          <t>Weight</t>
        </is>
      </c>
      <c r="AB5" s="4" t="inlineStr">
        <is>
          <t>After-hrs Move</t>
        </is>
      </c>
      <c r="AC5" s="4" t="inlineStr">
        <is>
          <t>vs 50-day</t>
        </is>
      </c>
      <c r="AD5" s="4" t="inlineStr">
        <is>
          <t>vs 200-day</t>
        </is>
      </c>
      <c r="AE5" s="4" t="inlineStr">
        <is>
          <t>Off 52-wk High</t>
        </is>
      </c>
      <c r="AF5" s="4" t="inlineStr">
        <is>
          <t>Upside to Target</t>
        </is>
      </c>
      <c r="AG5" s="4" t="inlineStr">
        <is>
          <t>SELL TARGET 1 (trim)</t>
        </is>
      </c>
      <c r="AH5" s="4" t="inlineStr">
        <is>
          <t>SELL TARGET 2 (trim)</t>
        </is>
      </c>
      <c r="AI5" s="4" t="inlineStr">
        <is>
          <t>Shares per Trim</t>
        </is>
      </c>
      <c r="AJ5" s="4" t="inlineStr">
        <is>
          <t>Proceeds at T1</t>
        </is>
      </c>
      <c r="AK5" s="4" t="inlineStr">
        <is>
          <t>DOWNSIDE REVIEW LEVEL</t>
        </is>
      </c>
      <c r="AL5" s="4" t="inlineStr">
        <is>
          <t>Cushion to Review</t>
        </is>
      </c>
      <c r="AM5" s="4" t="inlineStr">
        <is>
          <t>Trailing Stop (if green)</t>
        </is>
      </c>
      <c r="AN5" s="4" t="inlineStr">
        <is>
          <t>Reward : Risk</t>
        </is>
      </c>
      <c r="AO5" s="4" t="inlineStr">
        <is>
          <t>ACTION</t>
        </is>
      </c>
      <c r="AP5" s="3" t="inlineStr">
        <is>
          <t>Notes</t>
        </is>
      </c>
    </row>
    <row r="6">
      <c r="A6" s="5" t="inlineStr">
        <is>
          <t>META</t>
        </is>
      </c>
      <c r="B6" s="5" t="inlineStr">
        <is>
          <t>Meta Platforms</t>
        </is>
      </c>
      <c r="C6" s="5" t="inlineStr">
        <is>
          <t>Stock</t>
        </is>
      </c>
      <c r="D6" s="5" t="inlineStr">
        <is>
          <t>Internet</t>
        </is>
      </c>
      <c r="E6" s="6" t="n">
        <v>25.982426</v>
      </c>
      <c r="F6" s="7" t="n">
        <v>631.15</v>
      </c>
      <c r="G6" s="7" t="n">
        <v>624.52</v>
      </c>
      <c r="H6" s="7" t="n">
        <v>618.49</v>
      </c>
      <c r="I6" s="7" t="n">
        <v>668.6</v>
      </c>
      <c r="J6" s="7" t="n">
        <v>632.11</v>
      </c>
      <c r="K6" s="7" t="n">
        <v>537.27</v>
      </c>
      <c r="L6" s="7" t="n">
        <v>779.8200000000001</v>
      </c>
      <c r="M6" s="7" t="n">
        <v>779.8200000000001</v>
      </c>
      <c r="N6" s="7" t="n">
        <v>890.02</v>
      </c>
      <c r="O6" s="7" t="n">
        <v>850.51</v>
      </c>
      <c r="P6" s="7" t="n">
        <v>840</v>
      </c>
      <c r="Q6" s="7" t="n">
        <v>850.51</v>
      </c>
      <c r="R6" s="5" t="inlineStr">
        <is>
          <t>HIGH</t>
        </is>
      </c>
      <c r="S6" s="5" t="inlineStr">
        <is>
          <t>RICH</t>
        </is>
      </c>
      <c r="T6" s="5" t="inlineStr">
        <is>
          <t>INNOVATING</t>
        </is>
      </c>
      <c r="U6" s="8" t="inlineStr">
        <is>
          <t>Not in next 30d</t>
        </is>
      </c>
      <c r="V6" s="9">
        <f>IF(AND(Inputs!$B$6="After-hours",N(H6)&gt;0),H6,G6)</f>
        <v/>
      </c>
      <c r="W6" s="10">
        <f>E6*V6</f>
        <v/>
      </c>
      <c r="X6" s="10">
        <f>E6*F6</f>
        <v/>
      </c>
      <c r="Y6" s="11">
        <f>W6-X6</f>
        <v/>
      </c>
      <c r="Z6" s="12">
        <f>IFERROR(Y6/X6,"")</f>
        <v/>
      </c>
      <c r="AA6" s="13">
        <f>W6/$W$27</f>
        <v/>
      </c>
      <c r="AB6" s="12">
        <f>IFERROR(IF(N(H6)&gt;0,H6/G6-1,""),"")</f>
        <v/>
      </c>
      <c r="AC6" s="12">
        <f>IFERROR(V6/I6-1,"")</f>
        <v/>
      </c>
      <c r="AD6" s="12">
        <f>IFERROR(V6/J6-1,"")</f>
        <v/>
      </c>
      <c r="AE6" s="12">
        <f>IFERROR(V6/M6-1,"")</f>
        <v/>
      </c>
      <c r="AF6" s="12">
        <f>IF(N(Q6)&gt;0,Q6/V6-1,"")</f>
        <v/>
      </c>
      <c r="AG6" s="9">
        <f>IF(N(Q6)&gt;0,Q6*Inputs!$B$7,"")</f>
        <v/>
      </c>
      <c r="AH6" s="9">
        <f>IF(N(Q6)&gt;0,Q6*(1+Inputs!$B$8),"")</f>
        <v/>
      </c>
      <c r="AI6" s="14">
        <f>E6*Inputs!$B$9</f>
        <v/>
      </c>
      <c r="AJ6" s="10">
        <f>IF(N(AG6)&gt;0,AI6*AG6,"")</f>
        <v/>
      </c>
      <c r="AK6" s="9">
        <f>MAX(K6*(1-Inputs!$B$10),F6*(1-IF(ISNUMBER(SEARCH("Lev",C6)),Inputs!$B$12,Inputs!$B$11)))</f>
        <v/>
      </c>
      <c r="AL6" s="12">
        <f>IFERROR(V6/AK6-1,"")</f>
        <v/>
      </c>
      <c r="AM6" s="9">
        <f>IF(V6&gt;=F6/(1-Inputs!$B$13),MAX(F6,L6*(1-Inputs!$B$13)),"not green yet")</f>
        <v/>
      </c>
      <c r="AN6" s="15">
        <f>IF(AND(N(Q6)&gt;0,V6&gt;AK6,AG6&gt;V6),(AG6-V6)/(V6-AK6),"")</f>
        <v/>
      </c>
      <c r="AO6" s="16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7" t="inlineStr"/>
    </row>
    <row r="7">
      <c r="A7" s="5" t="inlineStr">
        <is>
          <t>AMZN</t>
        </is>
      </c>
      <c r="B7" s="5" t="inlineStr">
        <is>
          <t>Amazon</t>
        </is>
      </c>
      <c r="C7" s="5" t="inlineStr">
        <is>
          <t>Stock</t>
        </is>
      </c>
      <c r="D7" s="5" t="inlineStr">
        <is>
          <t>Internet retail / cloud</t>
        </is>
      </c>
      <c r="E7" s="6" t="n">
        <v>61.916672</v>
      </c>
      <c r="F7" s="7" t="n">
        <v>229.2</v>
      </c>
      <c r="G7" s="7" t="n">
        <v>243.79</v>
      </c>
      <c r="H7" s="7" t="n">
        <v>226.96</v>
      </c>
      <c r="I7" s="7" t="n">
        <v>254.89</v>
      </c>
      <c r="J7" s="7" t="n">
        <v>243.44</v>
      </c>
      <c r="K7" s="7" t="n">
        <v>244.3</v>
      </c>
      <c r="L7" s="7" t="n">
        <v>280.14</v>
      </c>
      <c r="M7" s="7" t="n">
        <v>287.2</v>
      </c>
      <c r="N7" s="7" t="n">
        <v>440.05</v>
      </c>
      <c r="O7" s="7" t="n">
        <v>333.68</v>
      </c>
      <c r="P7" s="7" t="n">
        <v>350</v>
      </c>
      <c r="Q7" s="7" t="n">
        <v>350</v>
      </c>
      <c r="R7" s="5" t="inlineStr">
        <is>
          <t>MED</t>
        </is>
      </c>
      <c r="S7" s="5" t="inlineStr">
        <is>
          <t>DEEP VALUE (low conf.)</t>
        </is>
      </c>
      <c r="T7" s="5" t="inlineStr">
        <is>
          <t>INNOVATING</t>
        </is>
      </c>
      <c r="U7" s="8" t="n">
        <v>46324</v>
      </c>
      <c r="V7" s="9">
        <f>IF(AND(Inputs!$B$6="After-hours",N(H7)&gt;0),H7,G7)</f>
        <v/>
      </c>
      <c r="W7" s="10">
        <f>E7*V7</f>
        <v/>
      </c>
      <c r="X7" s="10">
        <f>E7*F7</f>
        <v/>
      </c>
      <c r="Y7" s="11">
        <f>W7-X7</f>
        <v/>
      </c>
      <c r="Z7" s="12">
        <f>IFERROR(Y7/X7,"")</f>
        <v/>
      </c>
      <c r="AA7" s="13">
        <f>W7/$W$27</f>
        <v/>
      </c>
      <c r="AB7" s="12">
        <f>IFERROR(IF(N(H7)&gt;0,H7/G7-1,""),"")</f>
        <v/>
      </c>
      <c r="AC7" s="12">
        <f>IFERROR(V7/I7-1,"")</f>
        <v/>
      </c>
      <c r="AD7" s="12">
        <f>IFERROR(V7/J7-1,"")</f>
        <v/>
      </c>
      <c r="AE7" s="12">
        <f>IFERROR(V7/M7-1,"")</f>
        <v/>
      </c>
      <c r="AF7" s="12">
        <f>IF(N(Q7)&gt;0,Q7/V7-1,"")</f>
        <v/>
      </c>
      <c r="AG7" s="9">
        <f>IF(N(Q7)&gt;0,Q7*Inputs!$B$7,"")</f>
        <v/>
      </c>
      <c r="AH7" s="9">
        <f>IF(N(Q7)&gt;0,Q7*(1+Inputs!$B$8),"")</f>
        <v/>
      </c>
      <c r="AI7" s="14">
        <f>E7*Inputs!$B$9</f>
        <v/>
      </c>
      <c r="AJ7" s="10">
        <f>IF(N(AG7)&gt;0,AI7*AG7,"")</f>
        <v/>
      </c>
      <c r="AK7" s="9">
        <f>MAX(K7*(1-Inputs!$B$10),F7*(1-IF(ISNUMBER(SEARCH("Lev",C7)),Inputs!$B$12,Inputs!$B$11)))</f>
        <v/>
      </c>
      <c r="AL7" s="12">
        <f>IFERROR(V7/AK7-1,"")</f>
        <v/>
      </c>
      <c r="AM7" s="9">
        <f>IF(V7&gt;=F7/(1-Inputs!$B$13),MAX(F7,L7*(1-Inputs!$B$13)),"not green yet")</f>
        <v/>
      </c>
      <c r="AN7" s="15">
        <f>IF(AND(N(Q7)&gt;0,V7&gt;AK7,AG7&gt;V7),(AG7-V7)/(V7-AK7),"")</f>
        <v/>
      </c>
      <c r="AO7" s="16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7" t="inlineStr">
        <is>
          <t>Q3 EPS 1.89 vs 1.97 est (miss); -6.9% after hours. Below 60-day low AH.</t>
        </is>
      </c>
    </row>
    <row r="8">
      <c r="A8" s="5" t="inlineStr">
        <is>
          <t>SOXL</t>
        </is>
      </c>
      <c r="B8" s="5" t="inlineStr">
        <is>
          <t>Direxion Semis 3x Bull</t>
        </is>
      </c>
      <c r="C8" s="5" t="inlineStr">
        <is>
          <t>3x Lev ETF</t>
        </is>
      </c>
      <c r="D8" s="5" t="inlineStr">
        <is>
          <t>Semiconductors</t>
        </is>
      </c>
      <c r="E8" s="6" t="n">
        <v>145</v>
      </c>
      <c r="F8" s="7" t="n">
        <v>86.37</v>
      </c>
      <c r="G8" s="7" t="n">
        <v>102.39</v>
      </c>
      <c r="H8" s="7" t="n">
        <v>87.39</v>
      </c>
      <c r="I8" s="7" t="n">
        <v>122.07</v>
      </c>
      <c r="J8" s="7" t="n">
        <v>124.17</v>
      </c>
      <c r="K8" s="7" t="n">
        <v>80.22</v>
      </c>
      <c r="L8" s="7" t="n">
        <v>169.83</v>
      </c>
      <c r="M8" s="7" t="n">
        <v>302</v>
      </c>
      <c r="N8" s="7" t="n"/>
      <c r="O8" s="7" t="n"/>
      <c r="P8" s="7" t="n"/>
      <c r="Q8" s="7" t="n">
        <v>122.07</v>
      </c>
      <c r="R8" s="5" t="inlineStr">
        <is>
          <t>TECH (50-day)</t>
        </is>
      </c>
      <c r="S8" s="5" t="inlineStr">
        <is>
          <t>n/a</t>
        </is>
      </c>
      <c r="T8" s="5" t="inlineStr">
        <is>
          <t>n/a</t>
        </is>
      </c>
      <c r="U8" s="8" t="inlineStr">
        <is>
          <t>n/a</t>
        </is>
      </c>
      <c r="V8" s="9">
        <f>IF(AND(Inputs!$B$6="After-hours",N(H8)&gt;0),H8,G8)</f>
        <v/>
      </c>
      <c r="W8" s="10">
        <f>E8*V8</f>
        <v/>
      </c>
      <c r="X8" s="10">
        <f>E8*F8</f>
        <v/>
      </c>
      <c r="Y8" s="11">
        <f>W8-X8</f>
        <v/>
      </c>
      <c r="Z8" s="12">
        <f>IFERROR(Y8/X8,"")</f>
        <v/>
      </c>
      <c r="AA8" s="13">
        <f>W8/$W$27</f>
        <v/>
      </c>
      <c r="AB8" s="12">
        <f>IFERROR(IF(N(H8)&gt;0,H8/G8-1,""),"")</f>
        <v/>
      </c>
      <c r="AC8" s="12">
        <f>IFERROR(V8/I8-1,"")</f>
        <v/>
      </c>
      <c r="AD8" s="12">
        <f>IFERROR(V8/J8-1,"")</f>
        <v/>
      </c>
      <c r="AE8" s="12">
        <f>IFERROR(V8/M8-1,"")</f>
        <v/>
      </c>
      <c r="AF8" s="12">
        <f>IF(N(Q8)&gt;0,Q8/V8-1,"")</f>
        <v/>
      </c>
      <c r="AG8" s="9">
        <f>IF(N(Q8)&gt;0,Q8*Inputs!$B$7,"")</f>
        <v/>
      </c>
      <c r="AH8" s="9">
        <f>IF(N(Q8)&gt;0,Q8*(1+Inputs!$B$8),"")</f>
        <v/>
      </c>
      <c r="AI8" s="14">
        <f>E8*Inputs!$B$9</f>
        <v/>
      </c>
      <c r="AJ8" s="10">
        <f>IF(N(AG8)&gt;0,AI8*AG8,"")</f>
        <v/>
      </c>
      <c r="AK8" s="9">
        <f>MAX(K8*(1-Inputs!$B$10),F8*(1-IF(ISNUMBER(SEARCH("Lev",C8)),Inputs!$B$12,Inputs!$B$11)))</f>
        <v/>
      </c>
      <c r="AL8" s="12">
        <f>IFERROR(V8/AK8-1,"")</f>
        <v/>
      </c>
      <c r="AM8" s="9">
        <f>IF(V8&gt;=F8/(1-Inputs!$B$13),MAX(F8,L8*(1-Inputs!$B$13)),"not green yet")</f>
        <v/>
      </c>
      <c r="AN8" s="15">
        <f>IF(AND(N(Q8)&gt;0,V8&gt;AK8,AG8&gt;V8),(AG8-V8)/(V8-AK8),"")</f>
        <v/>
      </c>
      <c r="AO8" s="16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7" t="inlineStr">
        <is>
          <t>3x daily leverage, decays in chop. No analyst target: target = 50-day SMA (first resistance). -14.6% AH.</t>
        </is>
      </c>
    </row>
    <row r="9">
      <c r="A9" s="5" t="inlineStr">
        <is>
          <t>SPCX</t>
        </is>
      </c>
      <c r="B9" s="5" t="inlineStr">
        <is>
          <t>SpaceX</t>
        </is>
      </c>
      <c r="C9" s="5" t="inlineStr">
        <is>
          <t>Stock</t>
        </is>
      </c>
      <c r="D9" s="5" t="inlineStr">
        <is>
          <t>Space / telecom / AI</t>
        </is>
      </c>
      <c r="E9" s="6" t="n">
        <v>65</v>
      </c>
      <c r="F9" s="7" t="n">
        <v>154.95</v>
      </c>
      <c r="G9" s="7" t="n">
        <v>143.89</v>
      </c>
      <c r="H9" s="7" t="n">
        <v>140.71</v>
      </c>
      <c r="I9" s="7" t="n">
        <v>149.57</v>
      </c>
      <c r="J9" s="7" t="n">
        <v>147.94</v>
      </c>
      <c r="K9" s="7" t="n">
        <v>105.11</v>
      </c>
      <c r="L9" s="7" t="n">
        <v>176.42</v>
      </c>
      <c r="M9" s="7" t="n">
        <v>225.64</v>
      </c>
      <c r="N9" s="7" t="n"/>
      <c r="O9" s="7" t="n">
        <v>256</v>
      </c>
      <c r="P9" s="7" t="n">
        <v>240</v>
      </c>
      <c r="Q9" s="7" t="n">
        <v>248</v>
      </c>
      <c r="R9" s="5" t="inlineStr">
        <is>
          <t>MED</t>
        </is>
      </c>
      <c r="S9" s="5" t="inlineStr">
        <is>
          <t>n/a</t>
        </is>
      </c>
      <c r="T9" s="5" t="inlineStr">
        <is>
          <t>n/a</t>
        </is>
      </c>
      <c r="U9" s="8" t="inlineStr">
        <is>
          <t>Not in next 30d</t>
        </is>
      </c>
      <c r="V9" s="9">
        <f>IF(AND(Inputs!$B$6="After-hours",N(H9)&gt;0),H9,G9)</f>
        <v/>
      </c>
      <c r="W9" s="10">
        <f>E9*V9</f>
        <v/>
      </c>
      <c r="X9" s="10">
        <f>E9*F9</f>
        <v/>
      </c>
      <c r="Y9" s="11">
        <f>W9-X9</f>
        <v/>
      </c>
      <c r="Z9" s="12">
        <f>IFERROR(Y9/X9,"")</f>
        <v/>
      </c>
      <c r="AA9" s="13">
        <f>W9/$W$27</f>
        <v/>
      </c>
      <c r="AB9" s="12">
        <f>IFERROR(IF(N(H9)&gt;0,H9/G9-1,""),"")</f>
        <v/>
      </c>
      <c r="AC9" s="12">
        <f>IFERROR(V9/I9-1,"")</f>
        <v/>
      </c>
      <c r="AD9" s="12">
        <f>IFERROR(V9/J9-1,"")</f>
        <v/>
      </c>
      <c r="AE9" s="12">
        <f>IFERROR(V9/M9-1,"")</f>
        <v/>
      </c>
      <c r="AF9" s="12">
        <f>IF(N(Q9)&gt;0,Q9/V9-1,"")</f>
        <v/>
      </c>
      <c r="AG9" s="9">
        <f>IF(N(Q9)&gt;0,Q9*Inputs!$B$7,"")</f>
        <v/>
      </c>
      <c r="AH9" s="9">
        <f>IF(N(Q9)&gt;0,Q9*(1+Inputs!$B$8),"")</f>
        <v/>
      </c>
      <c r="AI9" s="14">
        <f>E9*Inputs!$B$9</f>
        <v/>
      </c>
      <c r="AJ9" s="10">
        <f>IF(N(AG9)&gt;0,AI9*AG9,"")</f>
        <v/>
      </c>
      <c r="AK9" s="9">
        <f>MAX(K9*(1-Inputs!$B$10),F9*(1-IF(ISNUMBER(SEARCH("Lev",C9)),Inputs!$B$12,Inputs!$B$11)))</f>
        <v/>
      </c>
      <c r="AL9" s="12">
        <f>IFERROR(V9/AK9-1,"")</f>
        <v/>
      </c>
      <c r="AM9" s="9">
        <f>IF(V9&gt;=F9/(1-Inputs!$B$13),MAX(F9,L9*(1-Inputs!$B$13)),"not green yet")</f>
        <v/>
      </c>
      <c r="AN9" s="15">
        <f>IF(AND(N(Q9)&gt;0,V9&gt;AK9,AG9&gt;V9),(AG9-V9)/(V9-AK9),"")</f>
        <v/>
      </c>
      <c r="AO9" s="16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7" t="inlineStr"/>
    </row>
    <row r="10">
      <c r="A10" s="5" t="inlineStr">
        <is>
          <t>NBIS</t>
        </is>
      </c>
      <c r="B10" s="5" t="inlineStr">
        <is>
          <t>Nebius Group</t>
        </is>
      </c>
      <c r="C10" s="5" t="inlineStr">
        <is>
          <t>Stock</t>
        </is>
      </c>
      <c r="D10" s="5" t="inlineStr">
        <is>
          <t>AI cloud</t>
        </is>
      </c>
      <c r="E10" s="6" t="n">
        <v>46</v>
      </c>
      <c r="F10" s="7" t="n">
        <v>162.87</v>
      </c>
      <c r="G10" s="7" t="n">
        <v>171.99</v>
      </c>
      <c r="H10" s="7" t="n">
        <v>164.33</v>
      </c>
      <c r="I10" s="7" t="n">
        <v>211.23</v>
      </c>
      <c r="J10" s="7" t="n">
        <v>177.28</v>
      </c>
      <c r="K10" s="7" t="n">
        <v>149.48</v>
      </c>
      <c r="L10" s="7" t="n">
        <v>280.83</v>
      </c>
      <c r="M10" s="7" t="n">
        <v>299.86</v>
      </c>
      <c r="N10" s="7" t="n"/>
      <c r="O10" s="7" t="n">
        <v>286.71</v>
      </c>
      <c r="P10" s="7" t="n">
        <v>250</v>
      </c>
      <c r="Q10" s="7" t="n">
        <v>268.36</v>
      </c>
      <c r="R10" s="5" t="inlineStr">
        <is>
          <t>MED</t>
        </is>
      </c>
      <c r="S10" s="5" t="inlineStr">
        <is>
          <t>EXPENSIVE (low conf.)</t>
        </is>
      </c>
      <c r="T10" s="5" t="inlineStr">
        <is>
          <t>DISRUPTOR</t>
        </is>
      </c>
      <c r="U10" s="8" t="n">
        <v>46336</v>
      </c>
      <c r="V10" s="9">
        <f>IF(AND(Inputs!$B$6="After-hours",N(H10)&gt;0),H10,G10)</f>
        <v/>
      </c>
      <c r="W10" s="10">
        <f>E10*V10</f>
        <v/>
      </c>
      <c r="X10" s="10">
        <f>E10*F10</f>
        <v/>
      </c>
      <c r="Y10" s="11">
        <f>W10-X10</f>
        <v/>
      </c>
      <c r="Z10" s="12">
        <f>IFERROR(Y10/X10,"")</f>
        <v/>
      </c>
      <c r="AA10" s="13">
        <f>W10/$W$27</f>
        <v/>
      </c>
      <c r="AB10" s="12">
        <f>IFERROR(IF(N(H10)&gt;0,H10/G10-1,""),"")</f>
        <v/>
      </c>
      <c r="AC10" s="12">
        <f>IFERROR(V10/I10-1,"")</f>
        <v/>
      </c>
      <c r="AD10" s="12">
        <f>IFERROR(V10/J10-1,"")</f>
        <v/>
      </c>
      <c r="AE10" s="12">
        <f>IFERROR(V10/M10-1,"")</f>
        <v/>
      </c>
      <c r="AF10" s="12">
        <f>IF(N(Q10)&gt;0,Q10/V10-1,"")</f>
        <v/>
      </c>
      <c r="AG10" s="9">
        <f>IF(N(Q10)&gt;0,Q10*Inputs!$B$7,"")</f>
        <v/>
      </c>
      <c r="AH10" s="9">
        <f>IF(N(Q10)&gt;0,Q10*(1+Inputs!$B$8),"")</f>
        <v/>
      </c>
      <c r="AI10" s="14">
        <f>E10*Inputs!$B$9</f>
        <v/>
      </c>
      <c r="AJ10" s="10">
        <f>IF(N(AG10)&gt;0,AI10*AG10,"")</f>
        <v/>
      </c>
      <c r="AK10" s="9">
        <f>MAX(K10*(1-Inputs!$B$10),F10*(1-IF(ISNUMBER(SEARCH("Lev",C10)),Inputs!$B$12,Inputs!$B$11)))</f>
        <v/>
      </c>
      <c r="AL10" s="12">
        <f>IFERROR(V10/AK10-1,"")</f>
        <v/>
      </c>
      <c r="AM10" s="9">
        <f>IF(V10&gt;=F10/(1-Inputs!$B$13),MAX(F10,L10*(1-Inputs!$B$13)),"not green yet")</f>
        <v/>
      </c>
      <c r="AN10" s="15">
        <f>IF(AND(N(Q10)&gt;0,V10&gt;AK10,AG10&gt;V10),(AG10-V10)/(V10-AK10),"")</f>
        <v/>
      </c>
      <c r="AO10" s="16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7" t="inlineStr">
        <is>
          <t>Earnings date unverified.</t>
        </is>
      </c>
    </row>
    <row r="11">
      <c r="A11" s="5" t="inlineStr">
        <is>
          <t>MPWR</t>
        </is>
      </c>
      <c r="B11" s="5" t="inlineStr">
        <is>
          <t>Monolithic Power</t>
        </is>
      </c>
      <c r="C11" s="5" t="inlineStr">
        <is>
          <t>Stock</t>
        </is>
      </c>
      <c r="D11" s="5" t="inlineStr">
        <is>
          <t>Semiconductors</t>
        </is>
      </c>
      <c r="E11" s="6" t="n">
        <v>6</v>
      </c>
      <c r="F11" s="7" t="n">
        <v>1165.4</v>
      </c>
      <c r="G11" s="7" t="n">
        <v>1198.81</v>
      </c>
      <c r="H11" s="7" t="n">
        <v>1190.01</v>
      </c>
      <c r="I11" s="7" t="n">
        <v>1276.92</v>
      </c>
      <c r="J11" s="7" t="n">
        <v>1315.16</v>
      </c>
      <c r="K11" s="7" t="n">
        <v>1126.57</v>
      </c>
      <c r="L11" s="7" t="n">
        <v>1491.64</v>
      </c>
      <c r="M11" s="7" t="n">
        <v>1714.09</v>
      </c>
      <c r="N11" s="7" t="n">
        <v>1870.2</v>
      </c>
      <c r="O11" s="7" t="n">
        <v>1807.46</v>
      </c>
      <c r="P11" s="7" t="n"/>
      <c r="Q11" s="7" t="n">
        <v>1838.83</v>
      </c>
      <c r="R11" s="5" t="inlineStr">
        <is>
          <t>HIGH</t>
        </is>
      </c>
      <c r="S11" s="5" t="inlineStr">
        <is>
          <t>EXPENSIVE</t>
        </is>
      </c>
      <c r="T11" s="5" t="inlineStr">
        <is>
          <t>INNOVATING</t>
        </is>
      </c>
      <c r="U11" s="8" t="n">
        <v>46324</v>
      </c>
      <c r="V11" s="9">
        <f>IF(AND(Inputs!$B$6="After-hours",N(H11)&gt;0),H11,G11)</f>
        <v/>
      </c>
      <c r="W11" s="10">
        <f>E11*V11</f>
        <v/>
      </c>
      <c r="X11" s="10">
        <f>E11*F11</f>
        <v/>
      </c>
      <c r="Y11" s="11">
        <f>W11-X11</f>
        <v/>
      </c>
      <c r="Z11" s="12">
        <f>IFERROR(Y11/X11,"")</f>
        <v/>
      </c>
      <c r="AA11" s="13">
        <f>W11/$W$27</f>
        <v/>
      </c>
      <c r="AB11" s="12">
        <f>IFERROR(IF(N(H11)&gt;0,H11/G11-1,""),"")</f>
        <v/>
      </c>
      <c r="AC11" s="12">
        <f>IFERROR(V11/I11-1,"")</f>
        <v/>
      </c>
      <c r="AD11" s="12">
        <f>IFERROR(V11/J11-1,"")</f>
        <v/>
      </c>
      <c r="AE11" s="12">
        <f>IFERROR(V11/M11-1,"")</f>
        <v/>
      </c>
      <c r="AF11" s="12">
        <f>IF(N(Q11)&gt;0,Q11/V11-1,"")</f>
        <v/>
      </c>
      <c r="AG11" s="9">
        <f>IF(N(Q11)&gt;0,Q11*Inputs!$B$7,"")</f>
        <v/>
      </c>
      <c r="AH11" s="9">
        <f>IF(N(Q11)&gt;0,Q11*(1+Inputs!$B$8),"")</f>
        <v/>
      </c>
      <c r="AI11" s="14">
        <f>E11*Inputs!$B$9</f>
        <v/>
      </c>
      <c r="AJ11" s="10">
        <f>IF(N(AG11)&gt;0,AI11*AG11,"")</f>
        <v/>
      </c>
      <c r="AK11" s="9">
        <f>MAX(K11*(1-Inputs!$B$10),F11*(1-IF(ISNUMBER(SEARCH("Lev",C11)),Inputs!$B$12,Inputs!$B$11)))</f>
        <v/>
      </c>
      <c r="AL11" s="12">
        <f>IFERROR(V11/AK11-1,"")</f>
        <v/>
      </c>
      <c r="AM11" s="9">
        <f>IF(V11&gt;=F11/(1-Inputs!$B$13),MAX(F11,L11*(1-Inputs!$B$13)),"not green yet")</f>
        <v/>
      </c>
      <c r="AN11" s="15">
        <f>IF(AND(N(Q11)&gt;0,V11&gt;AK11,AG11&gt;V11),(AG11-V11)/(V11-AK11),"")</f>
        <v/>
      </c>
      <c r="AO11" s="16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7" t="inlineStr">
        <is>
          <t>Q3 EPS 8.19 vs 7.56 est (beat).</t>
        </is>
      </c>
    </row>
    <row r="12">
      <c r="A12" s="5" t="inlineStr">
        <is>
          <t>CDNS</t>
        </is>
      </c>
      <c r="B12" s="5" t="inlineStr">
        <is>
          <t>Cadence Design</t>
        </is>
      </c>
      <c r="C12" s="5" t="inlineStr">
        <is>
          <t>Stock</t>
        </is>
      </c>
      <c r="D12" s="5" t="inlineStr">
        <is>
          <t>EDA software</t>
        </is>
      </c>
      <c r="E12" s="6" t="n">
        <v>20</v>
      </c>
      <c r="F12" s="7" t="n">
        <v>316.43</v>
      </c>
      <c r="G12" s="7" t="n">
        <v>342.75</v>
      </c>
      <c r="H12" s="7" t="n">
        <v>337.94</v>
      </c>
      <c r="I12" s="7" t="n">
        <v>320.24</v>
      </c>
      <c r="J12" s="7" t="n">
        <v>327.46</v>
      </c>
      <c r="K12" s="7" t="n">
        <v>273.07</v>
      </c>
      <c r="L12" s="7" t="n">
        <v>361.91</v>
      </c>
      <c r="M12" s="7" t="n">
        <v>416.69</v>
      </c>
      <c r="N12" s="7" t="n">
        <v>593.26</v>
      </c>
      <c r="O12" s="7" t="n">
        <v>415.04</v>
      </c>
      <c r="P12" s="7" t="n"/>
      <c r="Q12" s="7" t="n">
        <v>504.15</v>
      </c>
      <c r="R12" s="5" t="inlineStr">
        <is>
          <t>LOW</t>
        </is>
      </c>
      <c r="S12" s="5" t="inlineStr">
        <is>
          <t>RICH</t>
        </is>
      </c>
      <c r="T12" s="5" t="inlineStr">
        <is>
          <t>INNOVATING</t>
        </is>
      </c>
      <c r="U12" s="8" t="inlineStr">
        <is>
          <t>Not in next 30d</t>
        </is>
      </c>
      <c r="V12" s="9">
        <f>IF(AND(Inputs!$B$6="After-hours",N(H12)&gt;0),H12,G12)</f>
        <v/>
      </c>
      <c r="W12" s="10">
        <f>E12*V12</f>
        <v/>
      </c>
      <c r="X12" s="10">
        <f>E12*F12</f>
        <v/>
      </c>
      <c r="Y12" s="11">
        <f>W12-X12</f>
        <v/>
      </c>
      <c r="Z12" s="12">
        <f>IFERROR(Y12/X12,"")</f>
        <v/>
      </c>
      <c r="AA12" s="13">
        <f>W12/$W$27</f>
        <v/>
      </c>
      <c r="AB12" s="12">
        <f>IFERROR(IF(N(H12)&gt;0,H12/G12-1,""),"")</f>
        <v/>
      </c>
      <c r="AC12" s="12">
        <f>IFERROR(V12/I12-1,"")</f>
        <v/>
      </c>
      <c r="AD12" s="12">
        <f>IFERROR(V12/J12-1,"")</f>
        <v/>
      </c>
      <c r="AE12" s="12">
        <f>IFERROR(V12/M12-1,"")</f>
        <v/>
      </c>
      <c r="AF12" s="12">
        <f>IF(N(Q12)&gt;0,Q12/V12-1,"")</f>
        <v/>
      </c>
      <c r="AG12" s="9">
        <f>IF(N(Q12)&gt;0,Q12*Inputs!$B$7,"")</f>
        <v/>
      </c>
      <c r="AH12" s="9">
        <f>IF(N(Q12)&gt;0,Q12*(1+Inputs!$B$8),"")</f>
        <v/>
      </c>
      <c r="AI12" s="14">
        <f>E12*Inputs!$B$9</f>
        <v/>
      </c>
      <c r="AJ12" s="10">
        <f>IF(N(AG12)&gt;0,AI12*AG12,"")</f>
        <v/>
      </c>
      <c r="AK12" s="9">
        <f>MAX(K12*(1-Inputs!$B$10),F12*(1-IF(ISNUMBER(SEARCH("Lev",C12)),Inputs!$B$12,Inputs!$B$11)))</f>
        <v/>
      </c>
      <c r="AL12" s="12">
        <f>IFERROR(V12/AK12-1,"")</f>
        <v/>
      </c>
      <c r="AM12" s="9">
        <f>IF(V12&gt;=F12/(1-Inputs!$B$13),MAX(F12,L12*(1-Inputs!$B$13)),"not green yet")</f>
        <v/>
      </c>
      <c r="AN12" s="15">
        <f>IF(AND(N(Q12)&gt;0,V12&gt;AK12,AG12&gt;V12),(AG12-V12)/(V12-AK12),"")</f>
        <v/>
      </c>
      <c r="AO12" s="16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7" t="inlineStr">
        <is>
          <t>Target agreement LOW: fundamental and Robinhood targets 35% apart.</t>
        </is>
      </c>
    </row>
    <row r="13">
      <c r="A13" s="5" t="inlineStr">
        <is>
          <t>ASND</t>
        </is>
      </c>
      <c r="B13" s="5" t="inlineStr">
        <is>
          <t>Ascendis Pharma</t>
        </is>
      </c>
      <c r="C13" s="5" t="inlineStr">
        <is>
          <t>Stock</t>
        </is>
      </c>
      <c r="D13" s="5" t="inlineStr">
        <is>
          <t>Biotech</t>
        </is>
      </c>
      <c r="E13" s="6" t="n">
        <v>20</v>
      </c>
      <c r="F13" s="7" t="n">
        <v>226.14</v>
      </c>
      <c r="G13" s="7" t="n">
        <v>253</v>
      </c>
      <c r="H13" s="7" t="n">
        <v>253</v>
      </c>
      <c r="I13" s="7" t="n">
        <v>242.38</v>
      </c>
      <c r="J13" s="7" t="n">
        <v>237.93</v>
      </c>
      <c r="K13" s="7" t="n">
        <v>219.52</v>
      </c>
      <c r="L13" s="7" t="n">
        <v>272.47</v>
      </c>
      <c r="M13" s="7" t="n">
        <v>282.15</v>
      </c>
      <c r="N13" s="7" t="n"/>
      <c r="O13" s="7" t="n">
        <v>302.81</v>
      </c>
      <c r="P13" s="7" t="n">
        <v>302</v>
      </c>
      <c r="Q13" s="7" t="n">
        <v>302.4</v>
      </c>
      <c r="R13" s="5" t="inlineStr">
        <is>
          <t>MED</t>
        </is>
      </c>
      <c r="S13" s="5" t="inlineStr">
        <is>
          <t>n/a</t>
        </is>
      </c>
      <c r="T13" s="5" t="inlineStr">
        <is>
          <t>DISRUPTOR</t>
        </is>
      </c>
      <c r="U13" s="8" t="n">
        <v>46337</v>
      </c>
      <c r="V13" s="9">
        <f>IF(AND(Inputs!$B$6="After-hours",N(H13)&gt;0),H13,G13)</f>
        <v/>
      </c>
      <c r="W13" s="10">
        <f>E13*V13</f>
        <v/>
      </c>
      <c r="X13" s="10">
        <f>E13*F13</f>
        <v/>
      </c>
      <c r="Y13" s="11">
        <f>W13-X13</f>
        <v/>
      </c>
      <c r="Z13" s="12">
        <f>IFERROR(Y13/X13,"")</f>
        <v/>
      </c>
      <c r="AA13" s="13">
        <f>W13/$W$27</f>
        <v/>
      </c>
      <c r="AB13" s="12">
        <f>IFERROR(IF(N(H13)&gt;0,H13/G13-1,""),"")</f>
        <v/>
      </c>
      <c r="AC13" s="12">
        <f>IFERROR(V13/I13-1,"")</f>
        <v/>
      </c>
      <c r="AD13" s="12">
        <f>IFERROR(V13/J13-1,"")</f>
        <v/>
      </c>
      <c r="AE13" s="12">
        <f>IFERROR(V13/M13-1,"")</f>
        <v/>
      </c>
      <c r="AF13" s="12">
        <f>IF(N(Q13)&gt;0,Q13/V13-1,"")</f>
        <v/>
      </c>
      <c r="AG13" s="9">
        <f>IF(N(Q13)&gt;0,Q13*Inputs!$B$7,"")</f>
        <v/>
      </c>
      <c r="AH13" s="9">
        <f>IF(N(Q13)&gt;0,Q13*(1+Inputs!$B$8),"")</f>
        <v/>
      </c>
      <c r="AI13" s="14">
        <f>E13*Inputs!$B$9</f>
        <v/>
      </c>
      <c r="AJ13" s="10">
        <f>IF(N(AG13)&gt;0,AI13*AG13,"")</f>
        <v/>
      </c>
      <c r="AK13" s="9">
        <f>MAX(K13*(1-Inputs!$B$10),F13*(1-IF(ISNUMBER(SEARCH("Lev",C13)),Inputs!$B$12,Inputs!$B$11)))</f>
        <v/>
      </c>
      <c r="AL13" s="12">
        <f>IFERROR(V13/AK13-1,"")</f>
        <v/>
      </c>
      <c r="AM13" s="9">
        <f>IF(V13&gt;=F13/(1-Inputs!$B$13),MAX(F13,L13*(1-Inputs!$B$13)),"not green yet")</f>
        <v/>
      </c>
      <c r="AN13" s="15">
        <f>IF(AND(N(Q13)&gt;0,V13&gt;AK13,AG13&gt;V13),(AG13-V13)/(V13-AK13),"")</f>
        <v/>
      </c>
      <c r="AO13" s="16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7" t="inlineStr">
        <is>
          <t>Earnings date unverified.</t>
        </is>
      </c>
    </row>
    <row r="14">
      <c r="A14" s="5" t="inlineStr">
        <is>
          <t>NOW</t>
        </is>
      </c>
      <c r="B14" s="5" t="inlineStr">
        <is>
          <t>ServiceNow</t>
        </is>
      </c>
      <c r="C14" s="5" t="inlineStr">
        <is>
          <t>Stock</t>
        </is>
      </c>
      <c r="D14" s="5" t="inlineStr">
        <is>
          <t>Software</t>
        </is>
      </c>
      <c r="E14" s="6" t="n">
        <v>46.881838</v>
      </c>
      <c r="F14" s="7" t="n">
        <v>103.9</v>
      </c>
      <c r="G14" s="7" t="n">
        <v>109.67</v>
      </c>
      <c r="H14" s="7" t="n">
        <v>109.23</v>
      </c>
      <c r="I14" s="7" t="n">
        <v>139.99</v>
      </c>
      <c r="J14" s="7" t="n">
        <v>115.34</v>
      </c>
      <c r="K14" s="7" t="n">
        <v>111.8</v>
      </c>
      <c r="L14" s="7" t="n">
        <v>159.5</v>
      </c>
      <c r="M14" s="7" t="n">
        <v>192.97</v>
      </c>
      <c r="N14" s="7" t="n"/>
      <c r="O14" s="7" t="n">
        <v>158.78</v>
      </c>
      <c r="P14" s="7" t="n">
        <v>195.5</v>
      </c>
      <c r="Q14" s="7" t="n">
        <v>177.14</v>
      </c>
      <c r="R14" s="5" t="inlineStr">
        <is>
          <t>MED</t>
        </is>
      </c>
      <c r="S14" s="5" t="inlineStr">
        <is>
          <t>DEEP VALUE (low conf.)</t>
        </is>
      </c>
      <c r="T14" s="5" t="inlineStr">
        <is>
          <t>DISRUPTOR</t>
        </is>
      </c>
      <c r="U14" s="8" t="inlineStr">
        <is>
          <t>Not in next 30d</t>
        </is>
      </c>
      <c r="V14" s="9">
        <f>IF(AND(Inputs!$B$6="After-hours",N(H14)&gt;0),H14,G14)</f>
        <v/>
      </c>
      <c r="W14" s="10">
        <f>E14*V14</f>
        <v/>
      </c>
      <c r="X14" s="10">
        <f>E14*F14</f>
        <v/>
      </c>
      <c r="Y14" s="11">
        <f>W14-X14</f>
        <v/>
      </c>
      <c r="Z14" s="12">
        <f>IFERROR(Y14/X14,"")</f>
        <v/>
      </c>
      <c r="AA14" s="13">
        <f>W14/$W$27</f>
        <v/>
      </c>
      <c r="AB14" s="12">
        <f>IFERROR(IF(N(H14)&gt;0,H14/G14-1,""),"")</f>
        <v/>
      </c>
      <c r="AC14" s="12">
        <f>IFERROR(V14/I14-1,"")</f>
        <v/>
      </c>
      <c r="AD14" s="12">
        <f>IFERROR(V14/J14-1,"")</f>
        <v/>
      </c>
      <c r="AE14" s="12">
        <f>IFERROR(V14/M14-1,"")</f>
        <v/>
      </c>
      <c r="AF14" s="12">
        <f>IF(N(Q14)&gt;0,Q14/V14-1,"")</f>
        <v/>
      </c>
      <c r="AG14" s="9">
        <f>IF(N(Q14)&gt;0,Q14*Inputs!$B$7,"")</f>
        <v/>
      </c>
      <c r="AH14" s="9">
        <f>IF(N(Q14)&gt;0,Q14*(1+Inputs!$B$8),"")</f>
        <v/>
      </c>
      <c r="AI14" s="14">
        <f>E14*Inputs!$B$9</f>
        <v/>
      </c>
      <c r="AJ14" s="10">
        <f>IF(N(AG14)&gt;0,AI14*AG14,"")</f>
        <v/>
      </c>
      <c r="AK14" s="9">
        <f>MAX(K14*(1-Inputs!$B$10),F14*(1-IF(ISNUMBER(SEARCH("Lev",C14)),Inputs!$B$12,Inputs!$B$11)))</f>
        <v/>
      </c>
      <c r="AL14" s="12">
        <f>IFERROR(V14/AK14-1,"")</f>
        <v/>
      </c>
      <c r="AM14" s="9">
        <f>IF(V14&gt;=F14/(1-Inputs!$B$13),MAX(F14,L14*(1-Inputs!$B$13)),"not green yet")</f>
        <v/>
      </c>
      <c r="AN14" s="15">
        <f>IF(AND(N(Q14)&gt;0,V14&gt;AK14,AG14&gt;V14),(AG14-V14)/(V14-AK14),"")</f>
        <v/>
      </c>
      <c r="AO14" s="16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7" t="inlineStr">
        <is>
          <t>Closed below its 60-day low on 10/29.</t>
        </is>
      </c>
    </row>
    <row r="15">
      <c r="A15" s="5" t="inlineStr">
        <is>
          <t>VST</t>
        </is>
      </c>
      <c r="B15" s="5" t="inlineStr">
        <is>
          <t>Vistra</t>
        </is>
      </c>
      <c r="C15" s="5" t="inlineStr">
        <is>
          <t>Stock</t>
        </is>
      </c>
      <c r="D15" s="5" t="inlineStr">
        <is>
          <t>Power generation</t>
        </is>
      </c>
      <c r="E15" s="6" t="n">
        <v>35</v>
      </c>
      <c r="F15" s="7" t="n">
        <v>140.54</v>
      </c>
      <c r="G15" s="7" t="n">
        <v>140.95</v>
      </c>
      <c r="H15" s="7" t="n">
        <v>137.85</v>
      </c>
      <c r="I15" s="7" t="n">
        <v>145.12</v>
      </c>
      <c r="J15" s="7" t="n">
        <v>153.77</v>
      </c>
      <c r="K15" s="7" t="n">
        <v>133.44</v>
      </c>
      <c r="L15" s="7" t="n">
        <v>168.75</v>
      </c>
      <c r="M15" s="7" t="n">
        <v>198.82</v>
      </c>
      <c r="N15" s="7" t="n">
        <v>234.71</v>
      </c>
      <c r="O15" s="7" t="n">
        <v>207.86</v>
      </c>
      <c r="P15" s="7" t="n">
        <v>224</v>
      </c>
      <c r="Q15" s="7" t="n">
        <v>224</v>
      </c>
      <c r="R15" s="5" t="inlineStr">
        <is>
          <t>HIGH</t>
        </is>
      </c>
      <c r="S15" s="5" t="inlineStr">
        <is>
          <t>EXPENSIVE</t>
        </is>
      </c>
      <c r="T15" s="5" t="inlineStr">
        <is>
          <t>STABLE</t>
        </is>
      </c>
      <c r="U15" s="8" t="n">
        <v>46332</v>
      </c>
      <c r="V15" s="9">
        <f>IF(AND(Inputs!$B$6="After-hours",N(H15)&gt;0),H15,G15)</f>
        <v/>
      </c>
      <c r="W15" s="10">
        <f>E15*V15</f>
        <v/>
      </c>
      <c r="X15" s="10">
        <f>E15*F15</f>
        <v/>
      </c>
      <c r="Y15" s="11">
        <f>W15-X15</f>
        <v/>
      </c>
      <c r="Z15" s="12">
        <f>IFERROR(Y15/X15,"")</f>
        <v/>
      </c>
      <c r="AA15" s="13">
        <f>W15/$W$27</f>
        <v/>
      </c>
      <c r="AB15" s="12">
        <f>IFERROR(IF(N(H15)&gt;0,H15/G15-1,""),"")</f>
        <v/>
      </c>
      <c r="AC15" s="12">
        <f>IFERROR(V15/I15-1,"")</f>
        <v/>
      </c>
      <c r="AD15" s="12">
        <f>IFERROR(V15/J15-1,"")</f>
        <v/>
      </c>
      <c r="AE15" s="12">
        <f>IFERROR(V15/M15-1,"")</f>
        <v/>
      </c>
      <c r="AF15" s="12">
        <f>IF(N(Q15)&gt;0,Q15/V15-1,"")</f>
        <v/>
      </c>
      <c r="AG15" s="9">
        <f>IF(N(Q15)&gt;0,Q15*Inputs!$B$7,"")</f>
        <v/>
      </c>
      <c r="AH15" s="9">
        <f>IF(N(Q15)&gt;0,Q15*(1+Inputs!$B$8),"")</f>
        <v/>
      </c>
      <c r="AI15" s="14">
        <f>E15*Inputs!$B$9</f>
        <v/>
      </c>
      <c r="AJ15" s="10">
        <f>IF(N(AG15)&gt;0,AI15*AG15,"")</f>
        <v/>
      </c>
      <c r="AK15" s="9">
        <f>MAX(K15*(1-Inputs!$B$10),F15*(1-IF(ISNUMBER(SEARCH("Lev",C15)),Inputs!$B$12,Inputs!$B$11)))</f>
        <v/>
      </c>
      <c r="AL15" s="12">
        <f>IFERROR(V15/AK15-1,"")</f>
        <v/>
      </c>
      <c r="AM15" s="9">
        <f>IF(V15&gt;=F15/(1-Inputs!$B$13),MAX(F15,L15*(1-Inputs!$B$13)),"not green yet")</f>
        <v/>
      </c>
      <c r="AN15" s="15">
        <f>IF(AND(N(Q15)&gt;0,V15&gt;AK15,AG15&gt;V15),(AG15-V15)/(V15-AK15),"")</f>
        <v/>
      </c>
      <c r="AO15" s="16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7" t="inlineStr"/>
    </row>
    <row r="16">
      <c r="A16" s="5" t="inlineStr">
        <is>
          <t>CRDO</t>
        </is>
      </c>
      <c r="B16" s="5" t="inlineStr">
        <is>
          <t>Credo Technology</t>
        </is>
      </c>
      <c r="C16" s="5" t="inlineStr">
        <is>
          <t>Stock</t>
        </is>
      </c>
      <c r="D16" s="5" t="inlineStr">
        <is>
          <t>Semiconductors</t>
        </is>
      </c>
      <c r="E16" s="6" t="n">
        <v>25</v>
      </c>
      <c r="F16" s="7" t="n">
        <v>164.53</v>
      </c>
      <c r="G16" s="7" t="n">
        <v>165.29</v>
      </c>
      <c r="H16" s="7" t="n">
        <v>155.65</v>
      </c>
      <c r="I16" s="7" t="n">
        <v>190.17</v>
      </c>
      <c r="J16" s="7" t="n">
        <v>181.14</v>
      </c>
      <c r="K16" s="7" t="n">
        <v>142.89</v>
      </c>
      <c r="L16" s="7" t="n">
        <v>286.24</v>
      </c>
      <c r="M16" s="7" t="n">
        <v>308.67</v>
      </c>
      <c r="N16" s="7" t="n">
        <v>189.97</v>
      </c>
      <c r="O16" s="7" t="n">
        <v>281.59</v>
      </c>
      <c r="P16" s="7" t="n">
        <v>292</v>
      </c>
      <c r="Q16" s="7" t="n">
        <v>281.59</v>
      </c>
      <c r="R16" s="5" t="inlineStr">
        <is>
          <t>LOW</t>
        </is>
      </c>
      <c r="S16" s="5" t="inlineStr">
        <is>
          <t>EXPENSIVE</t>
        </is>
      </c>
      <c r="T16" s="5" t="inlineStr">
        <is>
          <t>DISRUPTOR</t>
        </is>
      </c>
      <c r="U16" s="8" t="inlineStr">
        <is>
          <t>Not in next 30d</t>
        </is>
      </c>
      <c r="V16" s="9">
        <f>IF(AND(Inputs!$B$6="After-hours",N(H16)&gt;0),H16,G16)</f>
        <v/>
      </c>
      <c r="W16" s="10">
        <f>E16*V16</f>
        <v/>
      </c>
      <c r="X16" s="10">
        <f>E16*F16</f>
        <v/>
      </c>
      <c r="Y16" s="11">
        <f>W16-X16</f>
        <v/>
      </c>
      <c r="Z16" s="12">
        <f>IFERROR(Y16/X16,"")</f>
        <v/>
      </c>
      <c r="AA16" s="13">
        <f>W16/$W$27</f>
        <v/>
      </c>
      <c r="AB16" s="12">
        <f>IFERROR(IF(N(H16)&gt;0,H16/G16-1,""),"")</f>
        <v/>
      </c>
      <c r="AC16" s="12">
        <f>IFERROR(V16/I16-1,"")</f>
        <v/>
      </c>
      <c r="AD16" s="12">
        <f>IFERROR(V16/J16-1,"")</f>
        <v/>
      </c>
      <c r="AE16" s="12">
        <f>IFERROR(V16/M16-1,"")</f>
        <v/>
      </c>
      <c r="AF16" s="12">
        <f>IF(N(Q16)&gt;0,Q16/V16-1,"")</f>
        <v/>
      </c>
      <c r="AG16" s="9">
        <f>IF(N(Q16)&gt;0,Q16*Inputs!$B$7,"")</f>
        <v/>
      </c>
      <c r="AH16" s="9">
        <f>IF(N(Q16)&gt;0,Q16*(1+Inputs!$B$8),"")</f>
        <v/>
      </c>
      <c r="AI16" s="14">
        <f>E16*Inputs!$B$9</f>
        <v/>
      </c>
      <c r="AJ16" s="10">
        <f>IF(N(AG16)&gt;0,AI16*AG16,"")</f>
        <v/>
      </c>
      <c r="AK16" s="9">
        <f>MAX(K16*(1-Inputs!$B$10),F16*(1-IF(ISNUMBER(SEARCH("Lev",C16)),Inputs!$B$12,Inputs!$B$11)))</f>
        <v/>
      </c>
      <c r="AL16" s="12">
        <f>IFERROR(V16/AK16-1,"")</f>
        <v/>
      </c>
      <c r="AM16" s="9">
        <f>IF(V16&gt;=F16/(1-Inputs!$B$13),MAX(F16,L16*(1-Inputs!$B$13)),"not green yet")</f>
        <v/>
      </c>
      <c r="AN16" s="15">
        <f>IF(AND(N(Q16)&gt;0,V16&gt;AK16,AG16&gt;V16),(AG16-V16)/(V16-AK16),"")</f>
        <v/>
      </c>
      <c r="AO16" s="16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7" t="inlineStr">
        <is>
          <t>-5.8% after hours.</t>
        </is>
      </c>
    </row>
    <row r="17">
      <c r="A17" s="5" t="inlineStr">
        <is>
          <t>SNDK</t>
        </is>
      </c>
      <c r="B17" s="5" t="inlineStr">
        <is>
          <t>Sandisk</t>
        </is>
      </c>
      <c r="C17" s="5" t="inlineStr">
        <is>
          <t>Stock</t>
        </is>
      </c>
      <c r="D17" s="5" t="inlineStr">
        <is>
          <t>Memory</t>
        </is>
      </c>
      <c r="E17" s="6" t="n">
        <v>3</v>
      </c>
      <c r="F17" s="7" t="n">
        <v>1278.16</v>
      </c>
      <c r="G17" s="7" t="n">
        <v>1330.05</v>
      </c>
      <c r="H17" s="7" t="n">
        <v>1309.34</v>
      </c>
      <c r="I17" s="7" t="n">
        <v>1568.4</v>
      </c>
      <c r="J17" s="7" t="n">
        <v>1255.73</v>
      </c>
      <c r="K17" s="7" t="n">
        <v>1163.09</v>
      </c>
      <c r="L17" s="7" t="n">
        <v>1909.48</v>
      </c>
      <c r="M17" s="7" t="n">
        <v>2354.39</v>
      </c>
      <c r="N17" s="7" t="n"/>
      <c r="O17" s="7" t="n">
        <v>2287.38</v>
      </c>
      <c r="P17" s="7" t="n">
        <v>1737.5</v>
      </c>
      <c r="Q17" s="7" t="n">
        <v>2012.44</v>
      </c>
      <c r="R17" s="5" t="inlineStr">
        <is>
          <t>MED</t>
        </is>
      </c>
      <c r="S17" s="5" t="inlineStr">
        <is>
          <t>EXPENSIVE (low conf.)</t>
        </is>
      </c>
      <c r="T17" s="5" t="inlineStr">
        <is>
          <t>INNOVATING</t>
        </is>
      </c>
      <c r="U17" s="8" t="n">
        <v>46324</v>
      </c>
      <c r="V17" s="9">
        <f>IF(AND(Inputs!$B$6="After-hours",N(H17)&gt;0),H17,G17)</f>
        <v/>
      </c>
      <c r="W17" s="10">
        <f>E17*V17</f>
        <v/>
      </c>
      <c r="X17" s="10">
        <f>E17*F17</f>
        <v/>
      </c>
      <c r="Y17" s="11">
        <f>W17-X17</f>
        <v/>
      </c>
      <c r="Z17" s="12">
        <f>IFERROR(Y17/X17,"")</f>
        <v/>
      </c>
      <c r="AA17" s="13">
        <f>W17/$W$27</f>
        <v/>
      </c>
      <c r="AB17" s="12">
        <f>IFERROR(IF(N(H17)&gt;0,H17/G17-1,""),"")</f>
        <v/>
      </c>
      <c r="AC17" s="12">
        <f>IFERROR(V17/I17-1,"")</f>
        <v/>
      </c>
      <c r="AD17" s="12">
        <f>IFERROR(V17/J17-1,"")</f>
        <v/>
      </c>
      <c r="AE17" s="12">
        <f>IFERROR(V17/M17-1,"")</f>
        <v/>
      </c>
      <c r="AF17" s="12">
        <f>IF(N(Q17)&gt;0,Q17/V17-1,"")</f>
        <v/>
      </c>
      <c r="AG17" s="9">
        <f>IF(N(Q17)&gt;0,Q17*Inputs!$B$7,"")</f>
        <v/>
      </c>
      <c r="AH17" s="9">
        <f>IF(N(Q17)&gt;0,Q17*(1+Inputs!$B$8),"")</f>
        <v/>
      </c>
      <c r="AI17" s="14">
        <f>E17*Inputs!$B$9</f>
        <v/>
      </c>
      <c r="AJ17" s="10">
        <f>IF(N(AG17)&gt;0,AI17*AG17,"")</f>
        <v/>
      </c>
      <c r="AK17" s="9">
        <f>MAX(K17*(1-Inputs!$B$10),F17*(1-IF(ISNUMBER(SEARCH("Lev",C17)),Inputs!$B$12,Inputs!$B$11)))</f>
        <v/>
      </c>
      <c r="AL17" s="12">
        <f>IFERROR(V17/AK17-1,"")</f>
        <v/>
      </c>
      <c r="AM17" s="9">
        <f>IF(V17&gt;=F17/(1-Inputs!$B$13),MAX(F17,L17*(1-Inputs!$B$13)),"not green yet")</f>
        <v/>
      </c>
      <c r="AN17" s="15">
        <f>IF(AND(N(Q17)&gt;0,V17&gt;AK17,AG17&gt;V17),(AG17-V17)/(V17-AK17),"")</f>
        <v/>
      </c>
      <c r="AO17" s="16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7" t="inlineStr">
        <is>
          <t>FQ1 EPS 49.51 vs 46.36 est (beat).</t>
        </is>
      </c>
    </row>
    <row r="18">
      <c r="A18" s="5" t="inlineStr">
        <is>
          <t>OKLO</t>
        </is>
      </c>
      <c r="B18" s="5" t="inlineStr">
        <is>
          <t>Oklo</t>
        </is>
      </c>
      <c r="C18" s="5" t="inlineStr">
        <is>
          <t>Stock</t>
        </is>
      </c>
      <c r="D18" s="5" t="inlineStr">
        <is>
          <t>Nuclear (pre-revenue)</t>
        </is>
      </c>
      <c r="E18" s="6" t="n">
        <v>100</v>
      </c>
      <c r="F18" s="7" t="n">
        <v>26.73</v>
      </c>
      <c r="G18" s="7" t="n">
        <v>26.81</v>
      </c>
      <c r="H18" s="7" t="n">
        <v>25.78</v>
      </c>
      <c r="I18" s="7" t="n">
        <v>35.86</v>
      </c>
      <c r="J18" s="7" t="n">
        <v>54.21</v>
      </c>
      <c r="K18" s="7" t="n">
        <v>25.39</v>
      </c>
      <c r="L18" s="7" t="n">
        <v>49.48</v>
      </c>
      <c r="M18" s="7" t="n">
        <v>145.3</v>
      </c>
      <c r="N18" s="7" t="n"/>
      <c r="O18" s="7" t="n">
        <v>62.83</v>
      </c>
      <c r="P18" s="7" t="n">
        <v>37</v>
      </c>
      <c r="Q18" s="7" t="n">
        <v>49.91</v>
      </c>
      <c r="R18" s="5" t="inlineStr">
        <is>
          <t>LOW</t>
        </is>
      </c>
      <c r="S18" s="5" t="inlineStr">
        <is>
          <t>n/a</t>
        </is>
      </c>
      <c r="T18" s="5" t="inlineStr">
        <is>
          <t>n/a</t>
        </is>
      </c>
      <c r="U18" s="8" t="n">
        <v>46332</v>
      </c>
      <c r="V18" s="9">
        <f>IF(AND(Inputs!$B$6="After-hours",N(H18)&gt;0),H18,G18)</f>
        <v/>
      </c>
      <c r="W18" s="10">
        <f>E18*V18</f>
        <v/>
      </c>
      <c r="X18" s="10">
        <f>E18*F18</f>
        <v/>
      </c>
      <c r="Y18" s="11">
        <f>W18-X18</f>
        <v/>
      </c>
      <c r="Z18" s="12">
        <f>IFERROR(Y18/X18,"")</f>
        <v/>
      </c>
      <c r="AA18" s="13">
        <f>W18/$W$27</f>
        <v/>
      </c>
      <c r="AB18" s="12">
        <f>IFERROR(IF(N(H18)&gt;0,H18/G18-1,""),"")</f>
        <v/>
      </c>
      <c r="AC18" s="12">
        <f>IFERROR(V18/I18-1,"")</f>
        <v/>
      </c>
      <c r="AD18" s="12">
        <f>IFERROR(V18/J18-1,"")</f>
        <v/>
      </c>
      <c r="AE18" s="12">
        <f>IFERROR(V18/M18-1,"")</f>
        <v/>
      </c>
      <c r="AF18" s="12">
        <f>IF(N(Q18)&gt;0,Q18/V18-1,"")</f>
        <v/>
      </c>
      <c r="AG18" s="9">
        <f>IF(N(Q18)&gt;0,Q18*Inputs!$B$7,"")</f>
        <v/>
      </c>
      <c r="AH18" s="9">
        <f>IF(N(Q18)&gt;0,Q18*(1+Inputs!$B$8),"")</f>
        <v/>
      </c>
      <c r="AI18" s="14">
        <f>E18*Inputs!$B$9</f>
        <v/>
      </c>
      <c r="AJ18" s="10">
        <f>IF(N(AG18)&gt;0,AI18*AG18,"")</f>
        <v/>
      </c>
      <c r="AK18" s="9">
        <f>MAX(K18*(1-Inputs!$B$10),F18*(1-IF(ISNUMBER(SEARCH("Lev",C18)),Inputs!$B$12,Inputs!$B$11)))</f>
        <v/>
      </c>
      <c r="AL18" s="12">
        <f>IFERROR(V18/AK18-1,"")</f>
        <v/>
      </c>
      <c r="AM18" s="9">
        <f>IF(V18&gt;=F18/(1-Inputs!$B$13),MAX(F18,L18*(1-Inputs!$B$13)),"not green yet")</f>
        <v/>
      </c>
      <c r="AN18" s="15">
        <f>IF(AND(N(Q18)&gt;0,V18&gt;AK18,AG18&gt;V18),(AG18-V18)/(V18-AK18),"")</f>
        <v/>
      </c>
      <c r="AO18" s="16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7" t="inlineStr">
        <is>
          <t>At 52-week low. Targets disagree (52% spread).</t>
        </is>
      </c>
    </row>
    <row r="19">
      <c r="A19" s="5" t="inlineStr">
        <is>
          <t>AAOX</t>
        </is>
      </c>
      <c r="B19" s="5" t="inlineStr">
        <is>
          <t>AAOI 2x Leveraged ETF</t>
        </is>
      </c>
      <c r="C19" s="5" t="inlineStr">
        <is>
          <t>2x Lev ETF</t>
        </is>
      </c>
      <c r="D19" s="5" t="inlineStr">
        <is>
          <t>Optical networking</t>
        </is>
      </c>
      <c r="E19" s="6" t="n">
        <v>500</v>
      </c>
      <c r="F19" s="7" t="n">
        <v>3.84</v>
      </c>
      <c r="G19" s="7" t="n">
        <v>5.1</v>
      </c>
      <c r="H19" s="7" t="n">
        <v>4.49</v>
      </c>
      <c r="I19" s="7" t="n">
        <v>9.57</v>
      </c>
      <c r="J19" s="7" t="n">
        <v>28.89</v>
      </c>
      <c r="K19" s="7" t="n">
        <v>3.6</v>
      </c>
      <c r="L19" s="7" t="n">
        <v>27.57</v>
      </c>
      <c r="M19" s="7" t="n">
        <v>103</v>
      </c>
      <c r="N19" s="7" t="n"/>
      <c r="O19" s="7" t="n"/>
      <c r="P19" s="7" t="n"/>
      <c r="Q19" s="7" t="n">
        <v>9.57</v>
      </c>
      <c r="R19" s="5" t="inlineStr">
        <is>
          <t>TECH (50-day)</t>
        </is>
      </c>
      <c r="S19" s="5" t="inlineStr">
        <is>
          <t>n/a</t>
        </is>
      </c>
      <c r="T19" s="5" t="inlineStr">
        <is>
          <t>n/a</t>
        </is>
      </c>
      <c r="U19" s="8" t="inlineStr">
        <is>
          <t>n/a</t>
        </is>
      </c>
      <c r="V19" s="9">
        <f>IF(AND(Inputs!$B$6="After-hours",N(H19)&gt;0),H19,G19)</f>
        <v/>
      </c>
      <c r="W19" s="10">
        <f>E19*V19</f>
        <v/>
      </c>
      <c r="X19" s="10">
        <f>E19*F19</f>
        <v/>
      </c>
      <c r="Y19" s="11">
        <f>W19-X19</f>
        <v/>
      </c>
      <c r="Z19" s="12">
        <f>IFERROR(Y19/X19,"")</f>
        <v/>
      </c>
      <c r="AA19" s="13">
        <f>W19/$W$27</f>
        <v/>
      </c>
      <c r="AB19" s="12">
        <f>IFERROR(IF(N(H19)&gt;0,H19/G19-1,""),"")</f>
        <v/>
      </c>
      <c r="AC19" s="12">
        <f>IFERROR(V19/I19-1,"")</f>
        <v/>
      </c>
      <c r="AD19" s="12">
        <f>IFERROR(V19/J19-1,"")</f>
        <v/>
      </c>
      <c r="AE19" s="12">
        <f>IFERROR(V19/M19-1,"")</f>
        <v/>
      </c>
      <c r="AF19" s="12">
        <f>IF(N(Q19)&gt;0,Q19/V19-1,"")</f>
        <v/>
      </c>
      <c r="AG19" s="9">
        <f>IF(N(Q19)&gt;0,Q19*Inputs!$B$7,"")</f>
        <v/>
      </c>
      <c r="AH19" s="9">
        <f>IF(N(Q19)&gt;0,Q19*(1+Inputs!$B$8),"")</f>
        <v/>
      </c>
      <c r="AI19" s="14">
        <f>E19*Inputs!$B$9</f>
        <v/>
      </c>
      <c r="AJ19" s="10">
        <f>IF(N(AG19)&gt;0,AI19*AG19,"")</f>
        <v/>
      </c>
      <c r="AK19" s="9">
        <f>MAX(K19*(1-Inputs!$B$10),F19*(1-IF(ISNUMBER(SEARCH("Lev",C19)),Inputs!$B$12,Inputs!$B$11)))</f>
        <v/>
      </c>
      <c r="AL19" s="12">
        <f>IFERROR(V19/AK19-1,"")</f>
        <v/>
      </c>
      <c r="AM19" s="9">
        <f>IF(V19&gt;=F19/(1-Inputs!$B$13),MAX(F19,L19*(1-Inputs!$B$13)),"not green yet")</f>
        <v/>
      </c>
      <c r="AN19" s="15">
        <f>IF(AND(N(Q19)&gt;0,V19&gt;AK19,AG19&gt;V19),(AG19-V19)/(V19-AK19),"")</f>
        <v/>
      </c>
      <c r="AO19" s="16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7" t="inlineStr">
        <is>
          <t>2x daily leverage on one stock; -95% from 52-wk high. Target = 50-day SMA.</t>
        </is>
      </c>
    </row>
    <row r="20">
      <c r="A20" s="5" t="inlineStr">
        <is>
          <t>GOOGL</t>
        </is>
      </c>
      <c r="B20" s="5" t="inlineStr">
        <is>
          <t>Alphabet</t>
        </is>
      </c>
      <c r="C20" s="5" t="inlineStr">
        <is>
          <t>Stock</t>
        </is>
      </c>
      <c r="D20" s="5" t="inlineStr">
        <is>
          <t>Internet</t>
        </is>
      </c>
      <c r="E20" s="6" t="n">
        <v>6.848872</v>
      </c>
      <c r="F20" s="7" t="n">
        <v>297.58</v>
      </c>
      <c r="G20" s="7" t="n">
        <v>283.82</v>
      </c>
      <c r="H20" s="7" t="n">
        <v>282.23</v>
      </c>
      <c r="I20" s="7" t="n">
        <v>341.11</v>
      </c>
      <c r="J20" s="7" t="n">
        <v>341.14</v>
      </c>
      <c r="K20" s="7" t="n">
        <v>316.6</v>
      </c>
      <c r="L20" s="7" t="n">
        <v>364.17</v>
      </c>
      <c r="M20" s="7" t="n">
        <v>408.61</v>
      </c>
      <c r="N20" s="7" t="n">
        <v>367.54</v>
      </c>
      <c r="O20" s="7" t="n">
        <v>405.31</v>
      </c>
      <c r="P20" s="7" t="n">
        <v>425</v>
      </c>
      <c r="Q20" s="7" t="n">
        <v>405.31</v>
      </c>
      <c r="R20" s="5" t="inlineStr">
        <is>
          <t>HIGH</t>
        </is>
      </c>
      <c r="S20" s="5" t="inlineStr">
        <is>
          <t>RICH</t>
        </is>
      </c>
      <c r="T20" s="5" t="inlineStr">
        <is>
          <t>DISRUPTOR</t>
        </is>
      </c>
      <c r="U20" s="8" t="inlineStr">
        <is>
          <t>Not in next 30d</t>
        </is>
      </c>
      <c r="V20" s="9">
        <f>IF(AND(Inputs!$B$6="After-hours",N(H20)&gt;0),H20,G20)</f>
        <v/>
      </c>
      <c r="W20" s="10">
        <f>E20*V20</f>
        <v/>
      </c>
      <c r="X20" s="10">
        <f>E20*F20</f>
        <v/>
      </c>
      <c r="Y20" s="11">
        <f>W20-X20</f>
        <v/>
      </c>
      <c r="Z20" s="12">
        <f>IFERROR(Y20/X20,"")</f>
        <v/>
      </c>
      <c r="AA20" s="13">
        <f>W20/$W$27</f>
        <v/>
      </c>
      <c r="AB20" s="12">
        <f>IFERROR(IF(N(H20)&gt;0,H20/G20-1,""),"")</f>
        <v/>
      </c>
      <c r="AC20" s="12">
        <f>IFERROR(V20/I20-1,"")</f>
        <v/>
      </c>
      <c r="AD20" s="12">
        <f>IFERROR(V20/J20-1,"")</f>
        <v/>
      </c>
      <c r="AE20" s="12">
        <f>IFERROR(V20/M20-1,"")</f>
        <v/>
      </c>
      <c r="AF20" s="12">
        <f>IF(N(Q20)&gt;0,Q20/V20-1,"")</f>
        <v/>
      </c>
      <c r="AG20" s="9">
        <f>IF(N(Q20)&gt;0,Q20*Inputs!$B$7,"")</f>
        <v/>
      </c>
      <c r="AH20" s="9">
        <f>IF(N(Q20)&gt;0,Q20*(1+Inputs!$B$8),"")</f>
        <v/>
      </c>
      <c r="AI20" s="14">
        <f>E20*Inputs!$B$9</f>
        <v/>
      </c>
      <c r="AJ20" s="10">
        <f>IF(N(AG20)&gt;0,AI20*AG20,"")</f>
        <v/>
      </c>
      <c r="AK20" s="9">
        <f>MAX(K20*(1-Inputs!$B$10),F20*(1-IF(ISNUMBER(SEARCH("Lev",C20)),Inputs!$B$12,Inputs!$B$11)))</f>
        <v/>
      </c>
      <c r="AL20" s="12">
        <f>IFERROR(V20/AK20-1,"")</f>
        <v/>
      </c>
      <c r="AM20" s="9">
        <f>IF(V20&gt;=F20/(1-Inputs!$B$13),MAX(F20,L20*(1-Inputs!$B$13)),"not green yet")</f>
        <v/>
      </c>
      <c r="AN20" s="15">
        <f>IF(AND(N(Q20)&gt;0,V20&gt;AK20,AG20&gt;V20),(AG20-V20)/(V20-AK20),"")</f>
        <v/>
      </c>
      <c r="AO20" s="16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7" t="inlineStr">
        <is>
          <t>Well below 60-day low and both moving averages.</t>
        </is>
      </c>
    </row>
    <row r="21">
      <c r="A21" s="5" t="inlineStr">
        <is>
          <t>IONQ</t>
        </is>
      </c>
      <c r="B21" s="5" t="inlineStr">
        <is>
          <t>IonQ</t>
        </is>
      </c>
      <c r="C21" s="5" t="inlineStr">
        <is>
          <t>Stock</t>
        </is>
      </c>
      <c r="D21" s="5" t="inlineStr">
        <is>
          <t>Quantum computing</t>
        </is>
      </c>
      <c r="E21" s="6" t="n">
        <v>30</v>
      </c>
      <c r="F21" s="7" t="n">
        <v>33.21</v>
      </c>
      <c r="G21" s="7" t="n">
        <v>31.72</v>
      </c>
      <c r="H21" s="7" t="n">
        <v>30.81</v>
      </c>
      <c r="I21" s="7" t="n">
        <v>38.44</v>
      </c>
      <c r="J21" s="7" t="n">
        <v>42.15</v>
      </c>
      <c r="K21" s="7" t="n">
        <v>29.94</v>
      </c>
      <c r="L21" s="7" t="n">
        <v>47.95</v>
      </c>
      <c r="M21" s="7" t="n">
        <v>73.65000000000001</v>
      </c>
      <c r="N21" s="7" t="n"/>
      <c r="O21" s="7" t="n">
        <v>65.77</v>
      </c>
      <c r="P21" s="7" t="n"/>
      <c r="Q21" s="7" t="n">
        <v>65.77</v>
      </c>
      <c r="R21" s="5" t="inlineStr">
        <is>
          <t>LOW</t>
        </is>
      </c>
      <c r="S21" s="5" t="inlineStr">
        <is>
          <t>n/a</t>
        </is>
      </c>
      <c r="T21" s="5" t="inlineStr">
        <is>
          <t>n/a</t>
        </is>
      </c>
      <c r="U21" s="8" t="n">
        <v>46331</v>
      </c>
      <c r="V21" s="9">
        <f>IF(AND(Inputs!$B$6="After-hours",N(H21)&gt;0),H21,G21)</f>
        <v/>
      </c>
      <c r="W21" s="10">
        <f>E21*V21</f>
        <v/>
      </c>
      <c r="X21" s="10">
        <f>E21*F21</f>
        <v/>
      </c>
      <c r="Y21" s="11">
        <f>W21-X21</f>
        <v/>
      </c>
      <c r="Z21" s="12">
        <f>IFERROR(Y21/X21,"")</f>
        <v/>
      </c>
      <c r="AA21" s="13">
        <f>W21/$W$27</f>
        <v/>
      </c>
      <c r="AB21" s="12">
        <f>IFERROR(IF(N(H21)&gt;0,H21/G21-1,""),"")</f>
        <v/>
      </c>
      <c r="AC21" s="12">
        <f>IFERROR(V21/I21-1,"")</f>
        <v/>
      </c>
      <c r="AD21" s="12">
        <f>IFERROR(V21/J21-1,"")</f>
        <v/>
      </c>
      <c r="AE21" s="12">
        <f>IFERROR(V21/M21-1,"")</f>
        <v/>
      </c>
      <c r="AF21" s="12">
        <f>IF(N(Q21)&gt;0,Q21/V21-1,"")</f>
        <v/>
      </c>
      <c r="AG21" s="9">
        <f>IF(N(Q21)&gt;0,Q21*Inputs!$B$7,"")</f>
        <v/>
      </c>
      <c r="AH21" s="9">
        <f>IF(N(Q21)&gt;0,Q21*(1+Inputs!$B$8),"")</f>
        <v/>
      </c>
      <c r="AI21" s="14">
        <f>E21*Inputs!$B$9</f>
        <v/>
      </c>
      <c r="AJ21" s="10">
        <f>IF(N(AG21)&gt;0,AI21*AG21,"")</f>
        <v/>
      </c>
      <c r="AK21" s="9">
        <f>MAX(K21*(1-Inputs!$B$10),F21*(1-IF(ISNUMBER(SEARCH("Lev",C21)),Inputs!$B$12,Inputs!$B$11)))</f>
        <v/>
      </c>
      <c r="AL21" s="12">
        <f>IFERROR(V21/AK21-1,"")</f>
        <v/>
      </c>
      <c r="AM21" s="9">
        <f>IF(V21&gt;=F21/(1-Inputs!$B$13),MAX(F21,L21*(1-Inputs!$B$13)),"not green yet")</f>
        <v/>
      </c>
      <c r="AN21" s="15">
        <f>IF(AND(N(Q21)&gt;0,V21&gt;AK21,AG21&gt;V21),(AG21-V21)/(V21-AK21),"")</f>
        <v/>
      </c>
      <c r="AO21" s="16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7" t="inlineStr">
        <is>
          <t>Only one target method available.</t>
        </is>
      </c>
    </row>
    <row r="22">
      <c r="A22" s="5" t="inlineStr">
        <is>
          <t>AUR</t>
        </is>
      </c>
      <c r="B22" s="5" t="inlineStr">
        <is>
          <t>Aurora Innovation</t>
        </is>
      </c>
      <c r="C22" s="5" t="inlineStr">
        <is>
          <t>Stock</t>
        </is>
      </c>
      <c r="D22" s="5" t="inlineStr">
        <is>
          <t>Autonomous trucking</t>
        </is>
      </c>
      <c r="E22" s="6" t="n">
        <v>200</v>
      </c>
      <c r="F22" s="7" t="n">
        <v>4.91</v>
      </c>
      <c r="G22" s="7" t="n">
        <v>4.405</v>
      </c>
      <c r="H22" s="7" t="n">
        <v>4.37</v>
      </c>
      <c r="I22" s="7" t="n">
        <v>5.73</v>
      </c>
      <c r="J22" s="7" t="n">
        <v>5.63</v>
      </c>
      <c r="K22" s="7" t="n">
        <v>4.4</v>
      </c>
      <c r="L22" s="7" t="n">
        <v>7.16</v>
      </c>
      <c r="M22" s="7" t="n">
        <v>8.57</v>
      </c>
      <c r="N22" s="7" t="n"/>
      <c r="O22" s="7" t="n">
        <v>11.33</v>
      </c>
      <c r="P22" s="7" t="n">
        <v>12.5</v>
      </c>
      <c r="Q22" s="7" t="n">
        <v>11.91</v>
      </c>
      <c r="R22" s="5" t="inlineStr">
        <is>
          <t>MED</t>
        </is>
      </c>
      <c r="S22" s="5" t="inlineStr">
        <is>
          <t>n/a</t>
        </is>
      </c>
      <c r="T22" s="5" t="inlineStr">
        <is>
          <t>INNOVATING</t>
        </is>
      </c>
      <c r="U22" s="8" t="inlineStr">
        <is>
          <t>Not in next 30d</t>
        </is>
      </c>
      <c r="V22" s="9">
        <f>IF(AND(Inputs!$B$6="After-hours",N(H22)&gt;0),H22,G22)</f>
        <v/>
      </c>
      <c r="W22" s="10">
        <f>E22*V22</f>
        <v/>
      </c>
      <c r="X22" s="10">
        <f>E22*F22</f>
        <v/>
      </c>
      <c r="Y22" s="11">
        <f>W22-X22</f>
        <v/>
      </c>
      <c r="Z22" s="12">
        <f>IFERROR(Y22/X22,"")</f>
        <v/>
      </c>
      <c r="AA22" s="13">
        <f>W22/$W$27</f>
        <v/>
      </c>
      <c r="AB22" s="12">
        <f>IFERROR(IF(N(H22)&gt;0,H22/G22-1,""),"")</f>
        <v/>
      </c>
      <c r="AC22" s="12">
        <f>IFERROR(V22/I22-1,"")</f>
        <v/>
      </c>
      <c r="AD22" s="12">
        <f>IFERROR(V22/J22-1,"")</f>
        <v/>
      </c>
      <c r="AE22" s="12">
        <f>IFERROR(V22/M22-1,"")</f>
        <v/>
      </c>
      <c r="AF22" s="12">
        <f>IF(N(Q22)&gt;0,Q22/V22-1,"")</f>
        <v/>
      </c>
      <c r="AG22" s="9">
        <f>IF(N(Q22)&gt;0,Q22*Inputs!$B$7,"")</f>
        <v/>
      </c>
      <c r="AH22" s="9">
        <f>IF(N(Q22)&gt;0,Q22*(1+Inputs!$B$8),"")</f>
        <v/>
      </c>
      <c r="AI22" s="14">
        <f>E22*Inputs!$B$9</f>
        <v/>
      </c>
      <c r="AJ22" s="10">
        <f>IF(N(AG22)&gt;0,AI22*AG22,"")</f>
        <v/>
      </c>
      <c r="AK22" s="9">
        <f>MAX(K22*(1-Inputs!$B$10),F22*(1-IF(ISNUMBER(SEARCH("Lev",C22)),Inputs!$B$12,Inputs!$B$11)))</f>
        <v/>
      </c>
      <c r="AL22" s="12">
        <f>IFERROR(V22/AK22-1,"")</f>
        <v/>
      </c>
      <c r="AM22" s="9">
        <f>IF(V22&gt;=F22/(1-Inputs!$B$13),MAX(F22,L22*(1-Inputs!$B$13)),"not green yet")</f>
        <v/>
      </c>
      <c r="AN22" s="15">
        <f>IF(AND(N(Q22)&gt;0,V22&gt;AK22,AG22&gt;V22),(AG22-V22)/(V22-AK22),"")</f>
        <v/>
      </c>
      <c r="AO22" s="16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7" t="inlineStr">
        <is>
          <t>Sitting on its 60-day low.</t>
        </is>
      </c>
    </row>
    <row r="23">
      <c r="A23" s="5" t="inlineStr">
        <is>
          <t>HOOD</t>
        </is>
      </c>
      <c r="B23" s="5" t="inlineStr">
        <is>
          <t>Robinhood Markets</t>
        </is>
      </c>
      <c r="C23" s="5" t="inlineStr">
        <is>
          <t>Stock</t>
        </is>
      </c>
      <c r="D23" s="5" t="inlineStr">
        <is>
          <t>Brokerage</t>
        </is>
      </c>
      <c r="E23" s="6" t="n">
        <v>0.010482</v>
      </c>
      <c r="F23" s="7" t="n">
        <v>90.63</v>
      </c>
      <c r="G23" s="7" t="n">
        <v>91.59</v>
      </c>
      <c r="H23" s="7" t="n">
        <v>87.37</v>
      </c>
      <c r="I23" s="7" t="n">
        <v>108.69</v>
      </c>
      <c r="J23" s="7" t="n">
        <v>92.76000000000001</v>
      </c>
      <c r="K23" s="7" t="n">
        <v>89.15000000000001</v>
      </c>
      <c r="L23" s="7" t="n">
        <v>126.74</v>
      </c>
      <c r="M23" s="7" t="n">
        <v>150.47</v>
      </c>
      <c r="N23" s="7" t="n"/>
      <c r="O23" s="7" t="n">
        <v>133.63</v>
      </c>
      <c r="P23" s="7" t="n">
        <v>145</v>
      </c>
      <c r="Q23" s="7" t="n">
        <v>139.31</v>
      </c>
      <c r="R23" s="5" t="inlineStr">
        <is>
          <t>MED</t>
        </is>
      </c>
      <c r="S23" s="5" t="inlineStr">
        <is>
          <t>n/a</t>
        </is>
      </c>
      <c r="T23" s="5" t="inlineStr">
        <is>
          <t>DISRUPTOR</t>
        </is>
      </c>
      <c r="U23" s="8" t="inlineStr">
        <is>
          <t>Not in next 30d</t>
        </is>
      </c>
      <c r="V23" s="9">
        <f>IF(AND(Inputs!$B$6="After-hours",N(H23)&gt;0),H23,G23)</f>
        <v/>
      </c>
      <c r="W23" s="10">
        <f>E23*V23</f>
        <v/>
      </c>
      <c r="X23" s="10">
        <f>E23*F23</f>
        <v/>
      </c>
      <c r="Y23" s="11">
        <f>W23-X23</f>
        <v/>
      </c>
      <c r="Z23" s="12">
        <f>IFERROR(Y23/X23,"")</f>
        <v/>
      </c>
      <c r="AA23" s="13">
        <f>W23/$W$27</f>
        <v/>
      </c>
      <c r="AB23" s="12">
        <f>IFERROR(IF(N(H23)&gt;0,H23/G23-1,""),"")</f>
        <v/>
      </c>
      <c r="AC23" s="12">
        <f>IFERROR(V23/I23-1,"")</f>
        <v/>
      </c>
      <c r="AD23" s="12">
        <f>IFERROR(V23/J23-1,"")</f>
        <v/>
      </c>
      <c r="AE23" s="12">
        <f>IFERROR(V23/M23-1,"")</f>
        <v/>
      </c>
      <c r="AF23" s="12">
        <f>IF(N(Q23)&gt;0,Q23/V23-1,"")</f>
        <v/>
      </c>
      <c r="AG23" s="9">
        <f>IF(N(Q23)&gt;0,Q23*Inputs!$B$7,"")</f>
        <v/>
      </c>
      <c r="AH23" s="9">
        <f>IF(N(Q23)&gt;0,Q23*(1+Inputs!$B$8),"")</f>
        <v/>
      </c>
      <c r="AI23" s="14">
        <f>E23*Inputs!$B$9</f>
        <v/>
      </c>
      <c r="AJ23" s="10">
        <f>IF(N(AG23)&gt;0,AI23*AG23,"")</f>
        <v/>
      </c>
      <c r="AK23" s="9">
        <f>MAX(K23*(1-Inputs!$B$10),F23*(1-IF(ISNUMBER(SEARCH("Lev",C23)),Inputs!$B$12,Inputs!$B$11)))</f>
        <v/>
      </c>
      <c r="AL23" s="12">
        <f>IFERROR(V23/AK23-1,"")</f>
        <v/>
      </c>
      <c r="AM23" s="9">
        <f>IF(V23&gt;=F23/(1-Inputs!$B$13),MAX(F23,L23*(1-Inputs!$B$13)),"not green yet")</f>
        <v/>
      </c>
      <c r="AN23" s="15">
        <f>IF(AND(N(Q23)&gt;0,V23&gt;AK23,AG23&gt;V23),(AG23-V23)/(V23-AK23),"")</f>
        <v/>
      </c>
      <c r="AO23" s="16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7" t="inlineStr">
        <is>
          <t>Fractional leftover (&lt;$1).</t>
        </is>
      </c>
    </row>
    <row r="24">
      <c r="A24" s="5" t="inlineStr">
        <is>
          <t>QQQ</t>
        </is>
      </c>
      <c r="B24" s="5" t="inlineStr">
        <is>
          <t>Invesco QQQ</t>
        </is>
      </c>
      <c r="C24" s="5" t="inlineStr">
        <is>
          <t>ETF</t>
        </is>
      </c>
      <c r="D24" s="5" t="inlineStr">
        <is>
          <t>Nasdaq-100</t>
        </is>
      </c>
      <c r="E24" s="6" t="n">
        <v>0.04204</v>
      </c>
      <c r="F24" s="7" t="n">
        <v>713.61</v>
      </c>
      <c r="G24" s="7" t="n">
        <v>715.34</v>
      </c>
      <c r="H24" s="7" t="n">
        <v>702.61</v>
      </c>
      <c r="I24" s="7" t="n">
        <v>725.61</v>
      </c>
      <c r="J24" s="7" t="n">
        <v>679.22</v>
      </c>
      <c r="K24" s="7" t="n">
        <v>700</v>
      </c>
      <c r="L24" s="7" t="n">
        <v>762.86</v>
      </c>
      <c r="M24" s="7" t="n">
        <v>762.86</v>
      </c>
      <c r="N24" s="7" t="n"/>
      <c r="O24" s="7" t="n"/>
      <c r="P24" s="7" t="n"/>
      <c r="Q24" s="7" t="n"/>
      <c r="R24" s="5" t="inlineStr">
        <is>
          <t>n/a</t>
        </is>
      </c>
      <c r="S24" s="5" t="inlineStr">
        <is>
          <t>n/a</t>
        </is>
      </c>
      <c r="T24" s="5" t="inlineStr">
        <is>
          <t>n/a</t>
        </is>
      </c>
      <c r="U24" s="8" t="inlineStr">
        <is>
          <t>n/a</t>
        </is>
      </c>
      <c r="V24" s="9">
        <f>IF(AND(Inputs!$B$6="After-hours",N(H24)&gt;0),H24,G24)</f>
        <v/>
      </c>
      <c r="W24" s="10">
        <f>E24*V24</f>
        <v/>
      </c>
      <c r="X24" s="10">
        <f>E24*F24</f>
        <v/>
      </c>
      <c r="Y24" s="11">
        <f>W24-X24</f>
        <v/>
      </c>
      <c r="Z24" s="12">
        <f>IFERROR(Y24/X24,"")</f>
        <v/>
      </c>
      <c r="AA24" s="13">
        <f>W24/$W$27</f>
        <v/>
      </c>
      <c r="AB24" s="12">
        <f>IFERROR(IF(N(H24)&gt;0,H24/G24-1,""),"")</f>
        <v/>
      </c>
      <c r="AC24" s="12">
        <f>IFERROR(V24/I24-1,"")</f>
        <v/>
      </c>
      <c r="AD24" s="12">
        <f>IFERROR(V24/J24-1,"")</f>
        <v/>
      </c>
      <c r="AE24" s="12">
        <f>IFERROR(V24/M24-1,"")</f>
        <v/>
      </c>
      <c r="AF24" s="12">
        <f>IF(N(Q24)&gt;0,Q24/V24-1,"")</f>
        <v/>
      </c>
      <c r="AG24" s="9">
        <f>IF(N(Q24)&gt;0,Q24*Inputs!$B$7,"")</f>
        <v/>
      </c>
      <c r="AH24" s="9">
        <f>IF(N(Q24)&gt;0,Q24*(1+Inputs!$B$8),"")</f>
        <v/>
      </c>
      <c r="AI24" s="14">
        <f>E24*Inputs!$B$9</f>
        <v/>
      </c>
      <c r="AJ24" s="10">
        <f>IF(N(AG24)&gt;0,AI24*AG24,"")</f>
        <v/>
      </c>
      <c r="AK24" s="9">
        <f>MAX(K24*(1-Inputs!$B$10),F24*(1-IF(ISNUMBER(SEARCH("Lev",C24)),Inputs!$B$12,Inputs!$B$11)))</f>
        <v/>
      </c>
      <c r="AL24" s="12">
        <f>IFERROR(V24/AK24-1,"")</f>
        <v/>
      </c>
      <c r="AM24" s="9">
        <f>IF(V24&gt;=F24/(1-Inputs!$B$13),MAX(F24,L24*(1-Inputs!$B$13)),"not green yet")</f>
        <v/>
      </c>
      <c r="AN24" s="15">
        <f>IF(AND(N(Q24)&gt;0,V24&gt;AK24,AG24&gt;V24),(AG24-V24)/(V24-AK24),"")</f>
        <v/>
      </c>
      <c r="AO24" s="16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17" t="inlineStr">
        <is>
          <t>Fractional leftover (~$30).</t>
        </is>
      </c>
    </row>
    <row r="25">
      <c r="A25" s="5" t="inlineStr">
        <is>
          <t>QQQI</t>
        </is>
      </c>
      <c r="B25" s="5" t="inlineStr">
        <is>
          <t>NEOS Nasdaq-100 Income</t>
        </is>
      </c>
      <c r="C25" s="5" t="inlineStr">
        <is>
          <t>ETF</t>
        </is>
      </c>
      <c r="D25" s="5" t="inlineStr">
        <is>
          <t>Nasdaq-100 covered call</t>
        </is>
      </c>
      <c r="E25" s="6" t="n">
        <v>0.567476</v>
      </c>
      <c r="F25" s="7" t="n">
        <v>53.83</v>
      </c>
      <c r="G25" s="7" t="n">
        <v>53.42</v>
      </c>
      <c r="H25" s="7" t="n">
        <v>52.61</v>
      </c>
      <c r="I25" s="7" t="n">
        <v>54.72</v>
      </c>
      <c r="J25" s="7" t="n">
        <v>54.18</v>
      </c>
      <c r="K25" s="7" t="n">
        <v>52.36</v>
      </c>
      <c r="L25" s="7" t="n">
        <v>56.84</v>
      </c>
      <c r="M25" s="7" t="n">
        <v>57.84</v>
      </c>
      <c r="N25" s="7" t="n"/>
      <c r="O25" s="7" t="n"/>
      <c r="P25" s="7" t="n"/>
      <c r="Q25" s="7" t="n"/>
      <c r="R25" s="5" t="inlineStr">
        <is>
          <t>n/a</t>
        </is>
      </c>
      <c r="S25" s="5" t="inlineStr">
        <is>
          <t>n/a</t>
        </is>
      </c>
      <c r="T25" s="5" t="inlineStr">
        <is>
          <t>n/a</t>
        </is>
      </c>
      <c r="U25" s="8" t="inlineStr">
        <is>
          <t>n/a</t>
        </is>
      </c>
      <c r="V25" s="9">
        <f>IF(AND(Inputs!$B$6="After-hours",N(H25)&gt;0),H25,G25)</f>
        <v/>
      </c>
      <c r="W25" s="10">
        <f>E25*V25</f>
        <v/>
      </c>
      <c r="X25" s="10">
        <f>E25*F25</f>
        <v/>
      </c>
      <c r="Y25" s="11">
        <f>W25-X25</f>
        <v/>
      </c>
      <c r="Z25" s="12">
        <f>IFERROR(Y25/X25,"")</f>
        <v/>
      </c>
      <c r="AA25" s="13">
        <f>W25/$W$27</f>
        <v/>
      </c>
      <c r="AB25" s="12">
        <f>IFERROR(IF(N(H25)&gt;0,H25/G25-1,""),"")</f>
        <v/>
      </c>
      <c r="AC25" s="12">
        <f>IFERROR(V25/I25-1,"")</f>
        <v/>
      </c>
      <c r="AD25" s="12">
        <f>IFERROR(V25/J25-1,"")</f>
        <v/>
      </c>
      <c r="AE25" s="12">
        <f>IFERROR(V25/M25-1,"")</f>
        <v/>
      </c>
      <c r="AF25" s="12">
        <f>IF(N(Q25)&gt;0,Q25/V25-1,"")</f>
        <v/>
      </c>
      <c r="AG25" s="9">
        <f>IF(N(Q25)&gt;0,Q25*Inputs!$B$7,"")</f>
        <v/>
      </c>
      <c r="AH25" s="9">
        <f>IF(N(Q25)&gt;0,Q25*(1+Inputs!$B$8),"")</f>
        <v/>
      </c>
      <c r="AI25" s="14">
        <f>E25*Inputs!$B$9</f>
        <v/>
      </c>
      <c r="AJ25" s="10">
        <f>IF(N(AG25)&gt;0,AI25*AG25,"")</f>
        <v/>
      </c>
      <c r="AK25" s="9">
        <f>MAX(K25*(1-Inputs!$B$10),F25*(1-IF(ISNUMBER(SEARCH("Lev",C25)),Inputs!$B$12,Inputs!$B$11)))</f>
        <v/>
      </c>
      <c r="AL25" s="12">
        <f>IFERROR(V25/AK25-1,"")</f>
        <v/>
      </c>
      <c r="AM25" s="9">
        <f>IF(V25&gt;=F25/(1-Inputs!$B$13),MAX(F25,L25*(1-Inputs!$B$13)),"not green yet")</f>
        <v/>
      </c>
      <c r="AN25" s="15">
        <f>IF(AND(N(Q25)&gt;0,V25&gt;AK25,AG25&gt;V25),(AG25-V25)/(V25-AK25),"")</f>
        <v/>
      </c>
      <c r="AO25" s="16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17" t="inlineStr">
        <is>
          <t>Fractional leftover (~$30).</t>
        </is>
      </c>
    </row>
    <row r="27">
      <c r="A27" s="18" t="inlineStr">
        <is>
          <t>TOTAL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9">
        <f>SUM(W6:W25)</f>
        <v/>
      </c>
      <c r="X27" s="19">
        <f>SUM(X6:X25)</f>
        <v/>
      </c>
      <c r="Y27" s="20">
        <f>SUM(Y6:Y25)</f>
        <v/>
      </c>
      <c r="Z27" s="21">
        <f>Y27/X27</f>
        <v/>
      </c>
      <c r="AA27" s="22">
        <f>SUM(AA6:AA25)</f>
        <v/>
      </c>
      <c r="AB27" s="18" t="n"/>
      <c r="AC27" s="18" t="n"/>
      <c r="AD27" s="18" t="n"/>
      <c r="AE27" s="18" t="n"/>
      <c r="AF27" s="22">
        <f>SUMPRODUCT(--(Q6:Q25&gt;0),E6:E25,Q6:Q25)/SUMPRODUCT(--(Q6:Q25&gt;0),W6:W25)-1</f>
        <v/>
      </c>
      <c r="AG27" s="18" t="n"/>
      <c r="AH27" s="18" t="n"/>
      <c r="AI27" s="18" t="n"/>
      <c r="AJ27" s="19">
        <f>SUM(AJ6:AJ25)</f>
        <v/>
      </c>
      <c r="AK27" s="18" t="n"/>
      <c r="AL27" s="18" t="n"/>
      <c r="AM27" s="18" t="n"/>
      <c r="AN27" s="18" t="n"/>
      <c r="AO27" s="18">
        <f>COUNTIF(AO6:AO25,"REVIEW*")&amp;" review, "&amp;COUNTIF(AO6:AO25,"OVERWEIGHT*")&amp;" overweight, "&amp;COUNTIF(AO6:AO25,"TRIM*")&amp;" trim"</f>
        <v/>
      </c>
      <c r="AP27" s="18" t="n"/>
    </row>
  </sheetData>
  <autoFilter ref="A5:AP25"/>
  <conditionalFormatting sqref="AO6:AO25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0">
      <formula>-0.05</formula>
    </cfRule>
  </conditionalFormatting>
  <conditionalFormatting sqref="AL6:AL25">
    <cfRule type="cellIs" priority="5" operator="between" dxfId="1">
      <formula>0</formula>
      <formula>0.05</formula>
    </cfRule>
  </conditionalFormatting>
  <conditionalFormatting sqref="R6:R25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23" t="inlineStr">
        <is>
          <t>Assumption</t>
        </is>
      </c>
      <c r="B4" s="23" t="inlineStr">
        <is>
          <t>Value</t>
        </is>
      </c>
      <c r="C4" s="23" t="inlineStr">
        <is>
          <t>What it does</t>
        </is>
      </c>
    </row>
    <row r="5">
      <c r="A5" t="inlineStr">
        <is>
          <t>As-of date (close used)</t>
        </is>
      </c>
      <c r="B5" s="8" t="n">
        <v>46324</v>
      </c>
      <c r="C5" t="inlineStr">
        <is>
          <t>Date of the official close in the Close column.</t>
        </is>
      </c>
    </row>
    <row r="6">
      <c r="A6" t="inlineStr">
        <is>
          <t>Price to use</t>
        </is>
      </c>
      <c r="B6" s="5" t="inlineStr">
        <is>
          <t>Close</t>
        </is>
      </c>
      <c r="C6" t="inlineStr">
        <is>
          <t>Close or After-hours. After-hours falls back to Close when blank.</t>
        </is>
      </c>
    </row>
    <row r="7">
      <c r="A7" t="inlineStr">
        <is>
          <t>Trim 1 trigger (% of final target)</t>
        </is>
      </c>
      <c r="B7" s="24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24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24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25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24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24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24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24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24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26" t="n">
        <v>7</v>
      </c>
      <c r="C16" t="inlineStr">
        <is>
          <t>Flags a holding reporting within this many days.</t>
        </is>
      </c>
    </row>
  </sheetData>
  <dataValidations count="1">
    <dataValidation sqref="B6" showDropDown="0" showInputMessage="0" showErrorMessage="0" allowBlank="0" type="list">
      <formula1>"Close,After-hours"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7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/>
    </row>
    <row r="14">
      <c r="A14" s="27" t="inlineStr">
        <is>
          <t>Sources</t>
        </is>
      </c>
    </row>
    <row r="15">
      <c r="A15" t="inlineStr">
        <is>
          <t>Positions, quotes, 50/200-day SMA, 60-day range, 52-wk high, earnings dates: Robinhood (pulled 2026-10-30).</t>
        </is>
      </c>
    </row>
    <row r="16">
      <c r="A16" t="inlineStr">
        <is>
          <t>Targets: joint_price_targets.json (2026-10-29). Valuation and disruption grades: valuation.json (2026-10-28/29).</t>
        </is>
      </c>
    </row>
    <row r="17">
      <c r="A17" t="inlineStr"/>
    </row>
    <row r="18">
      <c r="A18" s="27" t="inlineStr">
        <is>
          <t>Not included</t>
        </is>
      </c>
    </row>
    <row r="19">
      <c r="A19" t="inlineStr">
        <is>
          <t>EPIX^ (25 sh, $0 cost) has no quote: likely a delisted or escrowed position. Check it in the app.</t>
        </is>
      </c>
    </row>
    <row r="20">
      <c r="A20" t="inlineStr">
        <is>
          <t>Taxes: this is a taxable account. Check wash-sale lockouts (Robinhood list 'Wash-Sale Lockout') before selling at a loss and rebuying.</t>
        </is>
      </c>
    </row>
    <row r="21">
      <c r="A21" t="inlineStr"/>
    </row>
    <row r="22">
      <c r="A22" s="27" t="inlineStr">
        <is>
          <t>Refresh</t>
        </is>
      </c>
    </row>
    <row r="23">
      <c r="A23" t="inlineStr">
        <is>
          <t>Edit the blue cells, or update SNAPSHOT in build_joint_tracker.py and re-run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2026-10-30T04:53:58Z</dcterms:created>
  <dcterms:modified xmlns:dcterms="http://purl.org/dc/terms/" xmlns:xsi="http://www.w3.org/2001/XMLSchema-instance" xsi:type="dcterms:W3CDTF">2026-10-30T04:53:58Z</dcterms:modified>
</cp:coreProperties>
</file>