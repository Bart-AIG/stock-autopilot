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Watchlist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Method" sheetId="4" state="visible" r:id="rId4"/>
  </sheets>
  <definedNames>
    <definedName name="_xlnm._FilterDatabase" localSheetId="0" hidden="1">'Holdings'!$A$5:$AP$25</definedName>
    <definedName name="_xlnm._FilterDatabase" localSheetId="1" hidden="1">'Watchlist'!$A$4:$AD$38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71" fontId="0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0" customWidth="1" min="42" max="42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Close 2026-10-29</t>
        </is>
      </c>
      <c r="D3" s="2">
        <f>Inputs!$B$5</f>
        <v/>
      </c>
      <c r="F3" t="inlineStr">
        <is>
          <t>Not priced (check in the app): EPIX^</t>
        </is>
      </c>
    </row>
    <row r="5" ht="42" customHeight="1">
      <c r="A5" s="3" t="inlineStr">
        <is>
          <t>Symbol</t>
        </is>
      </c>
      <c r="B5" s="3" t="inlineStr">
        <is>
          <t>Company</t>
        </is>
      </c>
      <c r="C5" s="3" t="inlineStr">
        <is>
          <t>Type</t>
        </is>
      </c>
      <c r="D5" s="3" t="inlineStr">
        <is>
          <t>Sector</t>
        </is>
      </c>
      <c r="E5" s="3" t="inlineStr">
        <is>
          <t>Shares</t>
        </is>
      </c>
      <c r="F5" s="3" t="inlineStr">
        <is>
          <t>Avg Cost</t>
        </is>
      </c>
      <c r="G5" s="3" t="inlineStr">
        <is>
          <t>Price</t>
        </is>
      </c>
      <c r="H5" s="3" t="inlineStr">
        <is>
          <t>After-hrs</t>
        </is>
      </c>
      <c r="I5" s="3" t="inlineStr">
        <is>
          <t>50-day SMA</t>
        </is>
      </c>
      <c r="J5" s="3" t="inlineStr">
        <is>
          <t>200-day SMA</t>
        </is>
      </c>
      <c r="K5" s="3" t="inlineStr">
        <is>
          <t>60-day Low</t>
        </is>
      </c>
      <c r="L5" s="3" t="inlineStr">
        <is>
          <t>60-day High</t>
        </is>
      </c>
      <c r="M5" s="3" t="inlineStr">
        <is>
          <t>52-wk High</t>
        </is>
      </c>
      <c r="N5" s="3" t="inlineStr">
        <is>
          <t>Tgt: Fundamental</t>
        </is>
      </c>
      <c r="O5" s="3" t="inlineStr">
        <is>
          <t>Tgt: Robinhood</t>
        </is>
      </c>
      <c r="P5" s="3" t="inlineStr">
        <is>
          <t>Tgt: Analysts</t>
        </is>
      </c>
      <c r="Q5" s="3" t="inlineStr">
        <is>
          <t>FINAL Price Target</t>
        </is>
      </c>
      <c r="R5" s="3" t="inlineStr">
        <is>
          <t>Target Agreement</t>
        </is>
      </c>
      <c r="S5" s="3" t="inlineStr">
        <is>
          <t>Valuation</t>
        </is>
      </c>
      <c r="T5" s="3" t="inlineStr">
        <is>
          <t>Disruption</t>
        </is>
      </c>
      <c r="U5" s="3" t="inlineStr">
        <is>
          <t>Next Earnings</t>
        </is>
      </c>
      <c r="V5" s="4" t="inlineStr">
        <is>
          <t>Price Used</t>
        </is>
      </c>
      <c r="W5" s="4" t="inlineStr">
        <is>
          <t>Market Value</t>
        </is>
      </c>
      <c r="X5" s="4" t="inlineStr">
        <is>
          <t>Cost Basis</t>
        </is>
      </c>
      <c r="Y5" s="4" t="inlineStr">
        <is>
          <t>Unrealized P/L $</t>
        </is>
      </c>
      <c r="Z5" s="4" t="inlineStr">
        <is>
          <t>P/L %</t>
        </is>
      </c>
      <c r="AA5" s="4" t="inlineStr">
        <is>
          <t>Weight</t>
        </is>
      </c>
      <c r="AB5" s="4" t="inlineStr">
        <is>
          <t>After-hrs Move</t>
        </is>
      </c>
      <c r="AC5" s="4" t="inlineStr">
        <is>
          <t>vs 50-day</t>
        </is>
      </c>
      <c r="AD5" s="4" t="inlineStr">
        <is>
          <t>vs 200-day</t>
        </is>
      </c>
      <c r="AE5" s="4" t="inlineStr">
        <is>
          <t>Off 52-wk High</t>
        </is>
      </c>
      <c r="AF5" s="4" t="inlineStr">
        <is>
          <t>Upside to Target</t>
        </is>
      </c>
      <c r="AG5" s="4" t="inlineStr">
        <is>
          <t>SELL TARGET 1 (trim)</t>
        </is>
      </c>
      <c r="AH5" s="4" t="inlineStr">
        <is>
          <t>SELL TARGET 2 (trim)</t>
        </is>
      </c>
      <c r="AI5" s="4" t="inlineStr">
        <is>
          <t>Shares per Trim</t>
        </is>
      </c>
      <c r="AJ5" s="4" t="inlineStr">
        <is>
          <t>Proceeds at T1</t>
        </is>
      </c>
      <c r="AK5" s="4" t="inlineStr">
        <is>
          <t>DOWNSIDE REVIEW LEVEL</t>
        </is>
      </c>
      <c r="AL5" s="4" t="inlineStr">
        <is>
          <t>Cushion to Review</t>
        </is>
      </c>
      <c r="AM5" s="4" t="inlineStr">
        <is>
          <t>Trailing Stop (if green)</t>
        </is>
      </c>
      <c r="AN5" s="4" t="inlineStr">
        <is>
          <t>Reward : Risk</t>
        </is>
      </c>
      <c r="AO5" s="4" t="inlineStr">
        <is>
          <t>ACTION</t>
        </is>
      </c>
      <c r="AP5" s="3" t="inlineStr">
        <is>
          <t>Notes</t>
        </is>
      </c>
    </row>
    <row r="6">
      <c r="A6" s="5" t="inlineStr">
        <is>
          <t>META</t>
        </is>
      </c>
      <c r="B6" s="5" t="inlineStr">
        <is>
          <t>Meta Platforms</t>
        </is>
      </c>
      <c r="C6" s="5" t="inlineStr">
        <is>
          <t>Stock</t>
        </is>
      </c>
      <c r="D6" s="5" t="inlineStr">
        <is>
          <t>Internet</t>
        </is>
      </c>
      <c r="E6" s="6" t="n">
        <v>25.982426</v>
      </c>
      <c r="F6" s="7" t="n">
        <v>631.15</v>
      </c>
      <c r="G6" s="7" t="n">
        <v>624.52</v>
      </c>
      <c r="H6" s="7" t="n">
        <v>618.49</v>
      </c>
      <c r="I6" s="7" t="n">
        <v>668.6</v>
      </c>
      <c r="J6" s="7" t="n">
        <v>632.11</v>
      </c>
      <c r="K6" s="7" t="n">
        <v>537.27</v>
      </c>
      <c r="L6" s="7" t="n">
        <v>779.8200000000001</v>
      </c>
      <c r="M6" s="7" t="n">
        <v>779.8200000000001</v>
      </c>
      <c r="N6" s="7" t="n">
        <v>890.02</v>
      </c>
      <c r="O6" s="7" t="n">
        <v>850.51</v>
      </c>
      <c r="P6" s="7" t="n">
        <v>840</v>
      </c>
      <c r="Q6" s="7" t="n">
        <v>850.51</v>
      </c>
      <c r="R6" s="5" t="inlineStr">
        <is>
          <t>HIGH</t>
        </is>
      </c>
      <c r="S6" s="5" t="inlineStr">
        <is>
          <t>RICH -14% (low)</t>
        </is>
      </c>
      <c r="T6" s="5" t="inlineStr">
        <is>
          <t>INNOVATING</t>
        </is>
      </c>
      <c r="U6" s="8" t="inlineStr">
        <is>
          <t>n/a</t>
        </is>
      </c>
      <c r="V6" s="9">
        <f>IF(AND(Inputs!$B$6="After-hours",N(H6)&gt;0),H6,G6)</f>
        <v/>
      </c>
      <c r="W6" s="10">
        <f>E6*V6</f>
        <v/>
      </c>
      <c r="X6" s="10">
        <f>E6*F6</f>
        <v/>
      </c>
      <c r="Y6" s="11">
        <f>W6-X6</f>
        <v/>
      </c>
      <c r="Z6" s="12">
        <f>IFERROR(Y6/X6,"")</f>
        <v/>
      </c>
      <c r="AA6" s="13">
        <f>W6/$W$27</f>
        <v/>
      </c>
      <c r="AB6" s="12">
        <f>IFERROR(IF(N(H6)&gt;0,H6/G6-1,""),"")</f>
        <v/>
      </c>
      <c r="AC6" s="12">
        <f>IFERROR(V6/I6-1,"")</f>
        <v/>
      </c>
      <c r="AD6" s="12">
        <f>IFERROR(V6/J6-1,"")</f>
        <v/>
      </c>
      <c r="AE6" s="12">
        <f>IFERROR(V6/M6-1,"")</f>
        <v/>
      </c>
      <c r="AF6" s="12">
        <f>IF(N(Q6)&gt;0,Q6/V6-1,"")</f>
        <v/>
      </c>
      <c r="AG6" s="9">
        <f>IF(N(Q6)&gt;0,Q6*Inputs!$B$7,"")</f>
        <v/>
      </c>
      <c r="AH6" s="9">
        <f>IF(N(Q6)&gt;0,Q6*(1+Inputs!$B$8),"")</f>
        <v/>
      </c>
      <c r="AI6" s="14">
        <f>E6*Inputs!$B$9</f>
        <v/>
      </c>
      <c r="AJ6" s="10">
        <f>IF(N(AG6)&gt;0,AI6*AG6,"")</f>
        <v/>
      </c>
      <c r="AK6" s="9">
        <f>MAX(K6*(1-Inputs!$B$10),F6*(1-IF(ISNUMBER(SEARCH("Lev",C6)),Inputs!$B$12,Inputs!$B$11)))</f>
        <v/>
      </c>
      <c r="AL6" s="12">
        <f>IFERROR(V6/AK6-1,"")</f>
        <v/>
      </c>
      <c r="AM6" s="9">
        <f>IF(V6&gt;=F6/(1-Inputs!$B$13),MAX(F6,L6*(1-Inputs!$B$13)),"not green yet")</f>
        <v/>
      </c>
      <c r="AN6" s="15">
        <f>IF(AND(N(Q6)&gt;0,V6&gt;AK6,AG6&gt;V6),(AG6-V6)/(V6-AK6),"")</f>
        <v/>
      </c>
      <c r="AO6" s="16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7" t="inlineStr">
        <is>
          <t>Already held (~15% of the joint account).</t>
        </is>
      </c>
    </row>
    <row r="7">
      <c r="A7" s="5" t="inlineStr">
        <is>
          <t>AMZN</t>
        </is>
      </c>
      <c r="B7" s="5" t="inlineStr">
        <is>
          <t>Amazon</t>
        </is>
      </c>
      <c r="C7" s="5" t="inlineStr">
        <is>
          <t>Stock</t>
        </is>
      </c>
      <c r="D7" s="5" t="inlineStr">
        <is>
          <t>Internet retail / cloud</t>
        </is>
      </c>
      <c r="E7" s="6" t="n">
        <v>61.916672</v>
      </c>
      <c r="F7" s="7" t="n">
        <v>229.2</v>
      </c>
      <c r="G7" s="7" t="n">
        <v>243.79</v>
      </c>
      <c r="H7" s="7" t="n">
        <v>226.96</v>
      </c>
      <c r="I7" s="7" t="n">
        <v>254.89</v>
      </c>
      <c r="J7" s="7" t="n">
        <v>243.44</v>
      </c>
      <c r="K7" s="7" t="n">
        <v>244.3</v>
      </c>
      <c r="L7" s="7" t="n">
        <v>280.14</v>
      </c>
      <c r="M7" s="7" t="n">
        <v>287.2</v>
      </c>
      <c r="N7" s="7" t="n">
        <v>440.05</v>
      </c>
      <c r="O7" s="7" t="n">
        <v>333.68</v>
      </c>
      <c r="P7" s="7" t="n">
        <v>350</v>
      </c>
      <c r="Q7" s="7" t="n">
        <v>350</v>
      </c>
      <c r="R7" s="5" t="inlineStr">
        <is>
          <t>MED</t>
        </is>
      </c>
      <c r="S7" s="5" t="inlineStr">
        <is>
          <t>DEEP VALUE +100% (low)</t>
        </is>
      </c>
      <c r="T7" s="5" t="inlineStr">
        <is>
          <t>INNOVATING</t>
        </is>
      </c>
      <c r="U7" s="8" t="n">
        <v>46324</v>
      </c>
      <c r="V7" s="9">
        <f>IF(AND(Inputs!$B$6="After-hours",N(H7)&gt;0),H7,G7)</f>
        <v/>
      </c>
      <c r="W7" s="10">
        <f>E7*V7</f>
        <v/>
      </c>
      <c r="X7" s="10">
        <f>E7*F7</f>
        <v/>
      </c>
      <c r="Y7" s="11">
        <f>W7-X7</f>
        <v/>
      </c>
      <c r="Z7" s="12">
        <f>IFERROR(Y7/X7,"")</f>
        <v/>
      </c>
      <c r="AA7" s="13">
        <f>W7/$W$27</f>
        <v/>
      </c>
      <c r="AB7" s="12">
        <f>IFERROR(IF(N(H7)&gt;0,H7/G7-1,""),"")</f>
        <v/>
      </c>
      <c r="AC7" s="12">
        <f>IFERROR(V7/I7-1,"")</f>
        <v/>
      </c>
      <c r="AD7" s="12">
        <f>IFERROR(V7/J7-1,"")</f>
        <v/>
      </c>
      <c r="AE7" s="12">
        <f>IFERROR(V7/M7-1,"")</f>
        <v/>
      </c>
      <c r="AF7" s="12">
        <f>IF(N(Q7)&gt;0,Q7/V7-1,"")</f>
        <v/>
      </c>
      <c r="AG7" s="9">
        <f>IF(N(Q7)&gt;0,Q7*Inputs!$B$7,"")</f>
        <v/>
      </c>
      <c r="AH7" s="9">
        <f>IF(N(Q7)&gt;0,Q7*(1+Inputs!$B$8),"")</f>
        <v/>
      </c>
      <c r="AI7" s="14">
        <f>E7*Inputs!$B$9</f>
        <v/>
      </c>
      <c r="AJ7" s="10">
        <f>IF(N(AG7)&gt;0,AI7*AG7,"")</f>
        <v/>
      </c>
      <c r="AK7" s="9">
        <f>MAX(K7*(1-Inputs!$B$10),F7*(1-IF(ISNUMBER(SEARCH("Lev",C7)),Inputs!$B$12,Inputs!$B$11)))</f>
        <v/>
      </c>
      <c r="AL7" s="12">
        <f>IFERROR(V7/AK7-1,"")</f>
        <v/>
      </c>
      <c r="AM7" s="9">
        <f>IF(V7&gt;=F7/(1-Inputs!$B$13),MAX(F7,L7*(1-Inputs!$B$13)),"not green yet")</f>
        <v/>
      </c>
      <c r="AN7" s="15">
        <f>IF(AND(N(Q7)&gt;0,V7&gt;AK7,AG7&gt;V7),(AG7-V7)/(V7-AK7),"")</f>
        <v/>
      </c>
      <c r="AO7" s="16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7" t="inlineStr">
        <is>
          <t>Q3 EPS 1.89 vs 1.97 est (miss); -6.9% after hours. Below 60-day low AH.</t>
        </is>
      </c>
    </row>
    <row r="8">
      <c r="A8" s="5" t="inlineStr">
        <is>
          <t>SOXL</t>
        </is>
      </c>
      <c r="B8" s="5" t="inlineStr">
        <is>
          <t>Direxion Semis 3x Bull</t>
        </is>
      </c>
      <c r="C8" s="5" t="inlineStr">
        <is>
          <t>3x Lev ETF</t>
        </is>
      </c>
      <c r="D8" s="5" t="inlineStr">
        <is>
          <t>Semiconductors</t>
        </is>
      </c>
      <c r="E8" s="6" t="n">
        <v>145</v>
      </c>
      <c r="F8" s="7" t="n">
        <v>86.37</v>
      </c>
      <c r="G8" s="7" t="n">
        <v>102.39</v>
      </c>
      <c r="H8" s="7" t="n">
        <v>87.39</v>
      </c>
      <c r="I8" s="7" t="n">
        <v>122.07</v>
      </c>
      <c r="J8" s="7" t="n">
        <v>124.17</v>
      </c>
      <c r="K8" s="7" t="n">
        <v>80.22</v>
      </c>
      <c r="L8" s="7" t="n">
        <v>169.83</v>
      </c>
      <c r="M8" s="7" t="n">
        <v>302</v>
      </c>
      <c r="N8" s="7" t="n"/>
      <c r="O8" s="7" t="n"/>
      <c r="P8" s="7" t="n"/>
      <c r="Q8" s="7" t="n">
        <v>122.07</v>
      </c>
      <c r="R8" s="5" t="inlineStr">
        <is>
          <t>TECH (50-day)</t>
        </is>
      </c>
      <c r="S8" s="5" t="inlineStr">
        <is>
          <t>n/a</t>
        </is>
      </c>
      <c r="T8" s="5" t="inlineStr">
        <is>
          <t>n/a</t>
        </is>
      </c>
      <c r="U8" s="8" t="inlineStr">
        <is>
          <t>n/a</t>
        </is>
      </c>
      <c r="V8" s="9">
        <f>IF(AND(Inputs!$B$6="After-hours",N(H8)&gt;0),H8,G8)</f>
        <v/>
      </c>
      <c r="W8" s="10">
        <f>E8*V8</f>
        <v/>
      </c>
      <c r="X8" s="10">
        <f>E8*F8</f>
        <v/>
      </c>
      <c r="Y8" s="11">
        <f>W8-X8</f>
        <v/>
      </c>
      <c r="Z8" s="12">
        <f>IFERROR(Y8/X8,"")</f>
        <v/>
      </c>
      <c r="AA8" s="13">
        <f>W8/$W$27</f>
        <v/>
      </c>
      <c r="AB8" s="12">
        <f>IFERROR(IF(N(H8)&gt;0,H8/G8-1,""),"")</f>
        <v/>
      </c>
      <c r="AC8" s="12">
        <f>IFERROR(V8/I8-1,"")</f>
        <v/>
      </c>
      <c r="AD8" s="12">
        <f>IFERROR(V8/J8-1,"")</f>
        <v/>
      </c>
      <c r="AE8" s="12">
        <f>IFERROR(V8/M8-1,"")</f>
        <v/>
      </c>
      <c r="AF8" s="12">
        <f>IF(N(Q8)&gt;0,Q8/V8-1,"")</f>
        <v/>
      </c>
      <c r="AG8" s="9">
        <f>IF(N(Q8)&gt;0,Q8*Inputs!$B$7,"")</f>
        <v/>
      </c>
      <c r="AH8" s="9">
        <f>IF(N(Q8)&gt;0,Q8*(1+Inputs!$B$8),"")</f>
        <v/>
      </c>
      <c r="AI8" s="14">
        <f>E8*Inputs!$B$9</f>
        <v/>
      </c>
      <c r="AJ8" s="10">
        <f>IF(N(AG8)&gt;0,AI8*AG8,"")</f>
        <v/>
      </c>
      <c r="AK8" s="9">
        <f>MAX(K8*(1-Inputs!$B$10),F8*(1-IF(ISNUMBER(SEARCH("Lev",C8)),Inputs!$B$12,Inputs!$B$11)))</f>
        <v/>
      </c>
      <c r="AL8" s="12">
        <f>IFERROR(V8/AK8-1,"")</f>
        <v/>
      </c>
      <c r="AM8" s="9">
        <f>IF(V8&gt;=F8/(1-Inputs!$B$13),MAX(F8,L8*(1-Inputs!$B$13)),"not green yet")</f>
        <v/>
      </c>
      <c r="AN8" s="15">
        <f>IF(AND(N(Q8)&gt;0,V8&gt;AK8,AG8&gt;V8),(AG8-V8)/(V8-AK8),"")</f>
        <v/>
      </c>
      <c r="AO8" s="16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7" t="inlineStr">
        <is>
          <t>3x daily leverage, decays in chop. No analyst target: target = 50-day SMA (first resistance). -14.6% AH.</t>
        </is>
      </c>
    </row>
    <row r="9">
      <c r="A9" s="5" t="inlineStr">
        <is>
          <t>SPCX</t>
        </is>
      </c>
      <c r="B9" s="5" t="inlineStr">
        <is>
          <t>SpaceX</t>
        </is>
      </c>
      <c r="C9" s="5" t="inlineStr">
        <is>
          <t>Stock</t>
        </is>
      </c>
      <c r="D9" s="5" t="inlineStr">
        <is>
          <t>Space / telecom / AI</t>
        </is>
      </c>
      <c r="E9" s="6" t="n">
        <v>65</v>
      </c>
      <c r="F9" s="7" t="n">
        <v>154.95</v>
      </c>
      <c r="G9" s="7" t="n">
        <v>143.89</v>
      </c>
      <c r="H9" s="7" t="n">
        <v>140.71</v>
      </c>
      <c r="I9" s="7" t="n">
        <v>149.57</v>
      </c>
      <c r="J9" s="7" t="n">
        <v>147.94</v>
      </c>
      <c r="K9" s="7" t="n">
        <v>105.11</v>
      </c>
      <c r="L9" s="7" t="n">
        <v>176.42</v>
      </c>
      <c r="M9" s="7" t="n">
        <v>225.64</v>
      </c>
      <c r="N9" s="7" t="n"/>
      <c r="O9" s="7" t="n">
        <v>256</v>
      </c>
      <c r="P9" s="7" t="n">
        <v>240</v>
      </c>
      <c r="Q9" s="7" t="n">
        <v>248</v>
      </c>
      <c r="R9" s="5" t="inlineStr">
        <is>
          <t>MED</t>
        </is>
      </c>
      <c r="S9" s="5" t="inlineStr">
        <is>
          <t>n/a</t>
        </is>
      </c>
      <c r="T9" s="5" t="inlineStr">
        <is>
          <t>N/A</t>
        </is>
      </c>
      <c r="U9" s="8" t="inlineStr">
        <is>
          <t>n/a</t>
        </is>
      </c>
      <c r="V9" s="9">
        <f>IF(AND(Inputs!$B$6="After-hours",N(H9)&gt;0),H9,G9)</f>
        <v/>
      </c>
      <c r="W9" s="10">
        <f>E9*V9</f>
        <v/>
      </c>
      <c r="X9" s="10">
        <f>E9*F9</f>
        <v/>
      </c>
      <c r="Y9" s="11">
        <f>W9-X9</f>
        <v/>
      </c>
      <c r="Z9" s="12">
        <f>IFERROR(Y9/X9,"")</f>
        <v/>
      </c>
      <c r="AA9" s="13">
        <f>W9/$W$27</f>
        <v/>
      </c>
      <c r="AB9" s="12">
        <f>IFERROR(IF(N(H9)&gt;0,H9/G9-1,""),"")</f>
        <v/>
      </c>
      <c r="AC9" s="12">
        <f>IFERROR(V9/I9-1,"")</f>
        <v/>
      </c>
      <c r="AD9" s="12">
        <f>IFERROR(V9/J9-1,"")</f>
        <v/>
      </c>
      <c r="AE9" s="12">
        <f>IFERROR(V9/M9-1,"")</f>
        <v/>
      </c>
      <c r="AF9" s="12">
        <f>IF(N(Q9)&gt;0,Q9/V9-1,"")</f>
        <v/>
      </c>
      <c r="AG9" s="9">
        <f>IF(N(Q9)&gt;0,Q9*Inputs!$B$7,"")</f>
        <v/>
      </c>
      <c r="AH9" s="9">
        <f>IF(N(Q9)&gt;0,Q9*(1+Inputs!$B$8),"")</f>
        <v/>
      </c>
      <c r="AI9" s="14">
        <f>E9*Inputs!$B$9</f>
        <v/>
      </c>
      <c r="AJ9" s="10">
        <f>IF(N(AG9)&gt;0,AI9*AG9,"")</f>
        <v/>
      </c>
      <c r="AK9" s="9">
        <f>MAX(K9*(1-Inputs!$B$10),F9*(1-IF(ISNUMBER(SEARCH("Lev",C9)),Inputs!$B$12,Inputs!$B$11)))</f>
        <v/>
      </c>
      <c r="AL9" s="12">
        <f>IFERROR(V9/AK9-1,"")</f>
        <v/>
      </c>
      <c r="AM9" s="9">
        <f>IF(V9&gt;=F9/(1-Inputs!$B$13),MAX(F9,L9*(1-Inputs!$B$13)),"not green yet")</f>
        <v/>
      </c>
      <c r="AN9" s="15">
        <f>IF(AND(N(Q9)&gt;0,V9&gt;AK9,AG9&gt;V9),(AG9-V9)/(V9-AK9),"")</f>
        <v/>
      </c>
      <c r="AO9" s="16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7" t="inlineStr"/>
    </row>
    <row r="10">
      <c r="A10" s="5" t="inlineStr">
        <is>
          <t>NBIS</t>
        </is>
      </c>
      <c r="B10" s="5" t="inlineStr">
        <is>
          <t>Nebius Group</t>
        </is>
      </c>
      <c r="C10" s="5" t="inlineStr">
        <is>
          <t>Stock</t>
        </is>
      </c>
      <c r="D10" s="5" t="inlineStr">
        <is>
          <t>AI cloud</t>
        </is>
      </c>
      <c r="E10" s="6" t="n">
        <v>46</v>
      </c>
      <c r="F10" s="7" t="n">
        <v>162.87</v>
      </c>
      <c r="G10" s="7" t="n">
        <v>171.99</v>
      </c>
      <c r="H10" s="7" t="n">
        <v>164.33</v>
      </c>
      <c r="I10" s="7" t="n">
        <v>211.23</v>
      </c>
      <c r="J10" s="7" t="n">
        <v>177.28</v>
      </c>
      <c r="K10" s="7" t="n">
        <v>149.48</v>
      </c>
      <c r="L10" s="7" t="n">
        <v>280.83</v>
      </c>
      <c r="M10" s="7" t="n">
        <v>299.86</v>
      </c>
      <c r="N10" s="7" t="n"/>
      <c r="O10" s="7" t="n">
        <v>286.71</v>
      </c>
      <c r="P10" s="7" t="n">
        <v>250</v>
      </c>
      <c r="Q10" s="7" t="n">
        <v>268.36</v>
      </c>
      <c r="R10" s="5" t="inlineStr">
        <is>
          <t>MED</t>
        </is>
      </c>
      <c r="S10" s="5" t="inlineStr">
        <is>
          <t>EXPENSIVE -50% (low)</t>
        </is>
      </c>
      <c r="T10" s="5" t="inlineStr">
        <is>
          <t>DISRUPTOR</t>
        </is>
      </c>
      <c r="U10" s="8" t="n">
        <v>46336</v>
      </c>
      <c r="V10" s="9">
        <f>IF(AND(Inputs!$B$6="After-hours",N(H10)&gt;0),H10,G10)</f>
        <v/>
      </c>
      <c r="W10" s="10">
        <f>E10*V10</f>
        <v/>
      </c>
      <c r="X10" s="10">
        <f>E10*F10</f>
        <v/>
      </c>
      <c r="Y10" s="11">
        <f>W10-X10</f>
        <v/>
      </c>
      <c r="Z10" s="12">
        <f>IFERROR(Y10/X10,"")</f>
        <v/>
      </c>
      <c r="AA10" s="13">
        <f>W10/$W$27</f>
        <v/>
      </c>
      <c r="AB10" s="12">
        <f>IFERROR(IF(N(H10)&gt;0,H10/G10-1,""),"")</f>
        <v/>
      </c>
      <c r="AC10" s="12">
        <f>IFERROR(V10/I10-1,"")</f>
        <v/>
      </c>
      <c r="AD10" s="12">
        <f>IFERROR(V10/J10-1,"")</f>
        <v/>
      </c>
      <c r="AE10" s="12">
        <f>IFERROR(V10/M10-1,"")</f>
        <v/>
      </c>
      <c r="AF10" s="12">
        <f>IF(N(Q10)&gt;0,Q10/V10-1,"")</f>
        <v/>
      </c>
      <c r="AG10" s="9">
        <f>IF(N(Q10)&gt;0,Q10*Inputs!$B$7,"")</f>
        <v/>
      </c>
      <c r="AH10" s="9">
        <f>IF(N(Q10)&gt;0,Q10*(1+Inputs!$B$8),"")</f>
        <v/>
      </c>
      <c r="AI10" s="14">
        <f>E10*Inputs!$B$9</f>
        <v/>
      </c>
      <c r="AJ10" s="10">
        <f>IF(N(AG10)&gt;0,AI10*AG10,"")</f>
        <v/>
      </c>
      <c r="AK10" s="9">
        <f>MAX(K10*(1-Inputs!$B$10),F10*(1-IF(ISNUMBER(SEARCH("Lev",C10)),Inputs!$B$12,Inputs!$B$11)))</f>
        <v/>
      </c>
      <c r="AL10" s="12">
        <f>IFERROR(V10/AK10-1,"")</f>
        <v/>
      </c>
      <c r="AM10" s="9">
        <f>IF(V10&gt;=F10/(1-Inputs!$B$13),MAX(F10,L10*(1-Inputs!$B$13)),"not green yet")</f>
        <v/>
      </c>
      <c r="AN10" s="15">
        <f>IF(AND(N(Q10)&gt;0,V10&gt;AK10,AG10&gt;V10),(AG10-V10)/(V10-AK10),"")</f>
        <v/>
      </c>
      <c r="AO10" s="16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7" t="inlineStr">
        <is>
          <t>Earnings date unverified.</t>
        </is>
      </c>
    </row>
    <row r="11">
      <c r="A11" s="5" t="inlineStr">
        <is>
          <t>MPWR</t>
        </is>
      </c>
      <c r="B11" s="5" t="inlineStr">
        <is>
          <t>Monolithic Power</t>
        </is>
      </c>
      <c r="C11" s="5" t="inlineStr">
        <is>
          <t>Stock</t>
        </is>
      </c>
      <c r="D11" s="5" t="inlineStr">
        <is>
          <t>Semiconductors</t>
        </is>
      </c>
      <c r="E11" s="6" t="n">
        <v>6</v>
      </c>
      <c r="F11" s="7" t="n">
        <v>1165.4</v>
      </c>
      <c r="G11" s="7" t="n">
        <v>1198.81</v>
      </c>
      <c r="H11" s="7" t="n">
        <v>1190.01</v>
      </c>
      <c r="I11" s="7" t="n">
        <v>1276.92</v>
      </c>
      <c r="J11" s="7" t="n">
        <v>1315.16</v>
      </c>
      <c r="K11" s="7" t="n">
        <v>1126.57</v>
      </c>
      <c r="L11" s="7" t="n">
        <v>1491.64</v>
      </c>
      <c r="M11" s="7" t="n">
        <v>1714.09</v>
      </c>
      <c r="N11" s="7" t="n">
        <v>1870.2</v>
      </c>
      <c r="O11" s="7" t="n">
        <v>1807.46</v>
      </c>
      <c r="P11" s="7" t="n"/>
      <c r="Q11" s="7" t="n">
        <v>1838.83</v>
      </c>
      <c r="R11" s="5" t="inlineStr">
        <is>
          <t>HIGH</t>
        </is>
      </c>
      <c r="S11" s="5" t="inlineStr">
        <is>
          <t>EXPENSIVE -27% (med)</t>
        </is>
      </c>
      <c r="T11" s="5" t="inlineStr">
        <is>
          <t>INNOVATING</t>
        </is>
      </c>
      <c r="U11" s="8" t="n">
        <v>46324</v>
      </c>
      <c r="V11" s="9">
        <f>IF(AND(Inputs!$B$6="After-hours",N(H11)&gt;0),H11,G11)</f>
        <v/>
      </c>
      <c r="W11" s="10">
        <f>E11*V11</f>
        <v/>
      </c>
      <c r="X11" s="10">
        <f>E11*F11</f>
        <v/>
      </c>
      <c r="Y11" s="11">
        <f>W11-X11</f>
        <v/>
      </c>
      <c r="Z11" s="12">
        <f>IFERROR(Y11/X11,"")</f>
        <v/>
      </c>
      <c r="AA11" s="13">
        <f>W11/$W$27</f>
        <v/>
      </c>
      <c r="AB11" s="12">
        <f>IFERROR(IF(N(H11)&gt;0,H11/G11-1,""),"")</f>
        <v/>
      </c>
      <c r="AC11" s="12">
        <f>IFERROR(V11/I11-1,"")</f>
        <v/>
      </c>
      <c r="AD11" s="12">
        <f>IFERROR(V11/J11-1,"")</f>
        <v/>
      </c>
      <c r="AE11" s="12">
        <f>IFERROR(V11/M11-1,"")</f>
        <v/>
      </c>
      <c r="AF11" s="12">
        <f>IF(N(Q11)&gt;0,Q11/V11-1,"")</f>
        <v/>
      </c>
      <c r="AG11" s="9">
        <f>IF(N(Q11)&gt;0,Q11*Inputs!$B$7,"")</f>
        <v/>
      </c>
      <c r="AH11" s="9">
        <f>IF(N(Q11)&gt;0,Q11*(1+Inputs!$B$8),"")</f>
        <v/>
      </c>
      <c r="AI11" s="14">
        <f>E11*Inputs!$B$9</f>
        <v/>
      </c>
      <c r="AJ11" s="10">
        <f>IF(N(AG11)&gt;0,AI11*AG11,"")</f>
        <v/>
      </c>
      <c r="AK11" s="9">
        <f>MAX(K11*(1-Inputs!$B$10),F11*(1-IF(ISNUMBER(SEARCH("Lev",C11)),Inputs!$B$12,Inputs!$B$11)))</f>
        <v/>
      </c>
      <c r="AL11" s="12">
        <f>IFERROR(V11/AK11-1,"")</f>
        <v/>
      </c>
      <c r="AM11" s="9">
        <f>IF(V11&gt;=F11/(1-Inputs!$B$13),MAX(F11,L11*(1-Inputs!$B$13)),"not green yet")</f>
        <v/>
      </c>
      <c r="AN11" s="15">
        <f>IF(AND(N(Q11)&gt;0,V11&gt;AK11,AG11&gt;V11),(AG11-V11)/(V11-AK11),"")</f>
        <v/>
      </c>
      <c r="AO11" s="16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7" t="inlineStr">
        <is>
          <t>Q3 EPS 8.19 vs 7.56 est (beat).</t>
        </is>
      </c>
    </row>
    <row r="12">
      <c r="A12" s="5" t="inlineStr">
        <is>
          <t>CDNS</t>
        </is>
      </c>
      <c r="B12" s="5" t="inlineStr">
        <is>
          <t>Cadence Design</t>
        </is>
      </c>
      <c r="C12" s="5" t="inlineStr">
        <is>
          <t>Stock</t>
        </is>
      </c>
      <c r="D12" s="5" t="inlineStr">
        <is>
          <t>EDA software</t>
        </is>
      </c>
      <c r="E12" s="6" t="n">
        <v>20</v>
      </c>
      <c r="F12" s="7" t="n">
        <v>316.43</v>
      </c>
      <c r="G12" s="7" t="n">
        <v>342.75</v>
      </c>
      <c r="H12" s="7" t="n">
        <v>337.94</v>
      </c>
      <c r="I12" s="7" t="n">
        <v>320.24</v>
      </c>
      <c r="J12" s="7" t="n">
        <v>327.46</v>
      </c>
      <c r="K12" s="7" t="n">
        <v>273.07</v>
      </c>
      <c r="L12" s="7" t="n">
        <v>361.91</v>
      </c>
      <c r="M12" s="7" t="n">
        <v>416.69</v>
      </c>
      <c r="N12" s="7" t="n">
        <v>593.26</v>
      </c>
      <c r="O12" s="7" t="n">
        <v>415.04</v>
      </c>
      <c r="P12" s="7" t="n"/>
      <c r="Q12" s="7" t="n">
        <v>504.15</v>
      </c>
      <c r="R12" s="5" t="inlineStr">
        <is>
          <t>LOW</t>
        </is>
      </c>
      <c r="S12" s="5" t="inlineStr">
        <is>
          <t>RICH -13% (med)</t>
        </is>
      </c>
      <c r="T12" s="5" t="inlineStr">
        <is>
          <t>INNOVATING</t>
        </is>
      </c>
      <c r="U12" s="8" t="inlineStr">
        <is>
          <t>n/a</t>
        </is>
      </c>
      <c r="V12" s="9">
        <f>IF(AND(Inputs!$B$6="After-hours",N(H12)&gt;0),H12,G12)</f>
        <v/>
      </c>
      <c r="W12" s="10">
        <f>E12*V12</f>
        <v/>
      </c>
      <c r="X12" s="10">
        <f>E12*F12</f>
        <v/>
      </c>
      <c r="Y12" s="11">
        <f>W12-X12</f>
        <v/>
      </c>
      <c r="Z12" s="12">
        <f>IFERROR(Y12/X12,"")</f>
        <v/>
      </c>
      <c r="AA12" s="13">
        <f>W12/$W$27</f>
        <v/>
      </c>
      <c r="AB12" s="12">
        <f>IFERROR(IF(N(H12)&gt;0,H12/G12-1,""),"")</f>
        <v/>
      </c>
      <c r="AC12" s="12">
        <f>IFERROR(V12/I12-1,"")</f>
        <v/>
      </c>
      <c r="AD12" s="12">
        <f>IFERROR(V12/J12-1,"")</f>
        <v/>
      </c>
      <c r="AE12" s="12">
        <f>IFERROR(V12/M12-1,"")</f>
        <v/>
      </c>
      <c r="AF12" s="12">
        <f>IF(N(Q12)&gt;0,Q12/V12-1,"")</f>
        <v/>
      </c>
      <c r="AG12" s="9">
        <f>IF(N(Q12)&gt;0,Q12*Inputs!$B$7,"")</f>
        <v/>
      </c>
      <c r="AH12" s="9">
        <f>IF(N(Q12)&gt;0,Q12*(1+Inputs!$B$8),"")</f>
        <v/>
      </c>
      <c r="AI12" s="14">
        <f>E12*Inputs!$B$9</f>
        <v/>
      </c>
      <c r="AJ12" s="10">
        <f>IF(N(AG12)&gt;0,AI12*AG12,"")</f>
        <v/>
      </c>
      <c r="AK12" s="9">
        <f>MAX(K12*(1-Inputs!$B$10),F12*(1-IF(ISNUMBER(SEARCH("Lev",C12)),Inputs!$B$12,Inputs!$B$11)))</f>
        <v/>
      </c>
      <c r="AL12" s="12">
        <f>IFERROR(V12/AK12-1,"")</f>
        <v/>
      </c>
      <c r="AM12" s="9">
        <f>IF(V12&gt;=F12/(1-Inputs!$B$13),MAX(F12,L12*(1-Inputs!$B$13)),"not green yet")</f>
        <v/>
      </c>
      <c r="AN12" s="15">
        <f>IF(AND(N(Q12)&gt;0,V12&gt;AK12,AG12&gt;V12),(AG12-V12)/(V12-AK12),"")</f>
        <v/>
      </c>
      <c r="AO12" s="16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7" t="inlineStr">
        <is>
          <t>Target agreement LOW: fundamental and Robinhood targets 35% apart.</t>
        </is>
      </c>
    </row>
    <row r="13">
      <c r="A13" s="5" t="inlineStr">
        <is>
          <t>NOW</t>
        </is>
      </c>
      <c r="B13" s="5" t="inlineStr">
        <is>
          <t>ServiceNow</t>
        </is>
      </c>
      <c r="C13" s="5" t="inlineStr">
        <is>
          <t>Stock</t>
        </is>
      </c>
      <c r="D13" s="5" t="inlineStr">
        <is>
          <t>Software</t>
        </is>
      </c>
      <c r="E13" s="6" t="n">
        <v>46.881838</v>
      </c>
      <c r="F13" s="7" t="n">
        <v>103.9</v>
      </c>
      <c r="G13" s="7" t="n">
        <v>109.67</v>
      </c>
      <c r="H13" s="7" t="n">
        <v>109.23</v>
      </c>
      <c r="I13" s="7" t="n">
        <v>139.99</v>
      </c>
      <c r="J13" s="7" t="n">
        <v>115.34</v>
      </c>
      <c r="K13" s="7" t="n">
        <v>111.8</v>
      </c>
      <c r="L13" s="7" t="n">
        <v>159.5</v>
      </c>
      <c r="M13" s="7" t="n">
        <v>192.97</v>
      </c>
      <c r="N13" s="7" t="n"/>
      <c r="O13" s="7" t="n">
        <v>158.78</v>
      </c>
      <c r="P13" s="7" t="n">
        <v>195.5</v>
      </c>
      <c r="Q13" s="7" t="n">
        <v>177.14</v>
      </c>
      <c r="R13" s="5" t="inlineStr">
        <is>
          <t>MED</t>
        </is>
      </c>
      <c r="S13" s="5" t="inlineStr">
        <is>
          <t>DEEP VALUE +87% (low)</t>
        </is>
      </c>
      <c r="T13" s="5" t="inlineStr">
        <is>
          <t>DISRUPTOR</t>
        </is>
      </c>
      <c r="U13" s="8" t="inlineStr">
        <is>
          <t>n/a</t>
        </is>
      </c>
      <c r="V13" s="9">
        <f>IF(AND(Inputs!$B$6="After-hours",N(H13)&gt;0),H13,G13)</f>
        <v/>
      </c>
      <c r="W13" s="10">
        <f>E13*V13</f>
        <v/>
      </c>
      <c r="X13" s="10">
        <f>E13*F13</f>
        <v/>
      </c>
      <c r="Y13" s="11">
        <f>W13-X13</f>
        <v/>
      </c>
      <c r="Z13" s="12">
        <f>IFERROR(Y13/X13,"")</f>
        <v/>
      </c>
      <c r="AA13" s="13">
        <f>W13/$W$27</f>
        <v/>
      </c>
      <c r="AB13" s="12">
        <f>IFERROR(IF(N(H13)&gt;0,H13/G13-1,""),"")</f>
        <v/>
      </c>
      <c r="AC13" s="12">
        <f>IFERROR(V13/I13-1,"")</f>
        <v/>
      </c>
      <c r="AD13" s="12">
        <f>IFERROR(V13/J13-1,"")</f>
        <v/>
      </c>
      <c r="AE13" s="12">
        <f>IFERROR(V13/M13-1,"")</f>
        <v/>
      </c>
      <c r="AF13" s="12">
        <f>IF(N(Q13)&gt;0,Q13/V13-1,"")</f>
        <v/>
      </c>
      <c r="AG13" s="9">
        <f>IF(N(Q13)&gt;0,Q13*Inputs!$B$7,"")</f>
        <v/>
      </c>
      <c r="AH13" s="9">
        <f>IF(N(Q13)&gt;0,Q13*(1+Inputs!$B$8),"")</f>
        <v/>
      </c>
      <c r="AI13" s="14">
        <f>E13*Inputs!$B$9</f>
        <v/>
      </c>
      <c r="AJ13" s="10">
        <f>IF(N(AG13)&gt;0,AI13*AG13,"")</f>
        <v/>
      </c>
      <c r="AK13" s="9">
        <f>MAX(K13*(1-Inputs!$B$10),F13*(1-IF(ISNUMBER(SEARCH("Lev",C13)),Inputs!$B$12,Inputs!$B$11)))</f>
        <v/>
      </c>
      <c r="AL13" s="12">
        <f>IFERROR(V13/AK13-1,"")</f>
        <v/>
      </c>
      <c r="AM13" s="9">
        <f>IF(V13&gt;=F13/(1-Inputs!$B$13),MAX(F13,L13*(1-Inputs!$B$13)),"not green yet")</f>
        <v/>
      </c>
      <c r="AN13" s="15">
        <f>IF(AND(N(Q13)&gt;0,V13&gt;AK13,AG13&gt;V13),(AG13-V13)/(V13-AK13),"")</f>
        <v/>
      </c>
      <c r="AO13" s="16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7" t="inlineStr">
        <is>
          <t>Closed below its 60-day low on 10/29.</t>
        </is>
      </c>
    </row>
    <row r="14">
      <c r="A14" s="5" t="inlineStr">
        <is>
          <t>ASND</t>
        </is>
      </c>
      <c r="B14" s="5" t="inlineStr">
        <is>
          <t>Ascendis Pharma</t>
        </is>
      </c>
      <c r="C14" s="5" t="inlineStr">
        <is>
          <t>Stock</t>
        </is>
      </c>
      <c r="D14" s="5" t="inlineStr">
        <is>
          <t>Biotech</t>
        </is>
      </c>
      <c r="E14" s="6" t="n">
        <v>20</v>
      </c>
      <c r="F14" s="7" t="n">
        <v>226.14</v>
      </c>
      <c r="G14" s="7" t="n">
        <v>253</v>
      </c>
      <c r="H14" s="7" t="n">
        <v>253</v>
      </c>
      <c r="I14" s="7" t="n">
        <v>242.38</v>
      </c>
      <c r="J14" s="7" t="n">
        <v>237.93</v>
      </c>
      <c r="K14" s="7" t="n">
        <v>219.52</v>
      </c>
      <c r="L14" s="7" t="n">
        <v>272.47</v>
      </c>
      <c r="M14" s="7" t="n">
        <v>282.15</v>
      </c>
      <c r="N14" s="7" t="n"/>
      <c r="O14" s="7" t="n">
        <v>302.81</v>
      </c>
      <c r="P14" s="7" t="n">
        <v>302</v>
      </c>
      <c r="Q14" s="7" t="n">
        <v>302.4</v>
      </c>
      <c r="R14" s="5" t="inlineStr">
        <is>
          <t>MED</t>
        </is>
      </c>
      <c r="S14" s="5" t="inlineStr">
        <is>
          <t>n/a</t>
        </is>
      </c>
      <c r="T14" s="5" t="inlineStr">
        <is>
          <t>DISRUPTOR</t>
        </is>
      </c>
      <c r="U14" s="8" t="n">
        <v>46337</v>
      </c>
      <c r="V14" s="9">
        <f>IF(AND(Inputs!$B$6="After-hours",N(H14)&gt;0),H14,G14)</f>
        <v/>
      </c>
      <c r="W14" s="10">
        <f>E14*V14</f>
        <v/>
      </c>
      <c r="X14" s="10">
        <f>E14*F14</f>
        <v/>
      </c>
      <c r="Y14" s="11">
        <f>W14-X14</f>
        <v/>
      </c>
      <c r="Z14" s="12">
        <f>IFERROR(Y14/X14,"")</f>
        <v/>
      </c>
      <c r="AA14" s="13">
        <f>W14/$W$27</f>
        <v/>
      </c>
      <c r="AB14" s="12">
        <f>IFERROR(IF(N(H14)&gt;0,H14/G14-1,""),"")</f>
        <v/>
      </c>
      <c r="AC14" s="12">
        <f>IFERROR(V14/I14-1,"")</f>
        <v/>
      </c>
      <c r="AD14" s="12">
        <f>IFERROR(V14/J14-1,"")</f>
        <v/>
      </c>
      <c r="AE14" s="12">
        <f>IFERROR(V14/M14-1,"")</f>
        <v/>
      </c>
      <c r="AF14" s="12">
        <f>IF(N(Q14)&gt;0,Q14/V14-1,"")</f>
        <v/>
      </c>
      <c r="AG14" s="9">
        <f>IF(N(Q14)&gt;0,Q14*Inputs!$B$7,"")</f>
        <v/>
      </c>
      <c r="AH14" s="9">
        <f>IF(N(Q14)&gt;0,Q14*(1+Inputs!$B$8),"")</f>
        <v/>
      </c>
      <c r="AI14" s="14">
        <f>E14*Inputs!$B$9</f>
        <v/>
      </c>
      <c r="AJ14" s="10">
        <f>IF(N(AG14)&gt;0,AI14*AG14,"")</f>
        <v/>
      </c>
      <c r="AK14" s="9">
        <f>MAX(K14*(1-Inputs!$B$10),F14*(1-IF(ISNUMBER(SEARCH("Lev",C14)),Inputs!$B$12,Inputs!$B$11)))</f>
        <v/>
      </c>
      <c r="AL14" s="12">
        <f>IFERROR(V14/AK14-1,"")</f>
        <v/>
      </c>
      <c r="AM14" s="9">
        <f>IF(V14&gt;=F14/(1-Inputs!$B$13),MAX(F14,L14*(1-Inputs!$B$13)),"not green yet")</f>
        <v/>
      </c>
      <c r="AN14" s="15">
        <f>IF(AND(N(Q14)&gt;0,V14&gt;AK14,AG14&gt;V14),(AG14-V14)/(V14-AK14),"")</f>
        <v/>
      </c>
      <c r="AO14" s="16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7" t="inlineStr">
        <is>
          <t>Earnings date unverified.</t>
        </is>
      </c>
    </row>
    <row r="15">
      <c r="A15" s="5" t="inlineStr">
        <is>
          <t>VST</t>
        </is>
      </c>
      <c r="B15" s="5" t="inlineStr">
        <is>
          <t>Vistra</t>
        </is>
      </c>
      <c r="C15" s="5" t="inlineStr">
        <is>
          <t>Stock</t>
        </is>
      </c>
      <c r="D15" s="5" t="inlineStr">
        <is>
          <t>Power generation</t>
        </is>
      </c>
      <c r="E15" s="6" t="n">
        <v>35</v>
      </c>
      <c r="F15" s="7" t="n">
        <v>140.54</v>
      </c>
      <c r="G15" s="7" t="n">
        <v>140.95</v>
      </c>
      <c r="H15" s="7" t="n">
        <v>137.85</v>
      </c>
      <c r="I15" s="7" t="n">
        <v>145.12</v>
      </c>
      <c r="J15" s="7" t="n">
        <v>153.77</v>
      </c>
      <c r="K15" s="7" t="n">
        <v>133.44</v>
      </c>
      <c r="L15" s="7" t="n">
        <v>168.75</v>
      </c>
      <c r="M15" s="7" t="n">
        <v>198.82</v>
      </c>
      <c r="N15" s="7" t="n">
        <v>234.71</v>
      </c>
      <c r="O15" s="7" t="n">
        <v>207.86</v>
      </c>
      <c r="P15" s="7" t="n">
        <v>224</v>
      </c>
      <c r="Q15" s="7" t="n">
        <v>224</v>
      </c>
      <c r="R15" s="5" t="inlineStr">
        <is>
          <t>HIGH</t>
        </is>
      </c>
      <c r="S15" s="5" t="inlineStr">
        <is>
          <t>EXPENSIVE -36% (low)</t>
        </is>
      </c>
      <c r="T15" s="5" t="inlineStr">
        <is>
          <t>STABLE</t>
        </is>
      </c>
      <c r="U15" s="8" t="n">
        <v>46332</v>
      </c>
      <c r="V15" s="9">
        <f>IF(AND(Inputs!$B$6="After-hours",N(H15)&gt;0),H15,G15)</f>
        <v/>
      </c>
      <c r="W15" s="10">
        <f>E15*V15</f>
        <v/>
      </c>
      <c r="X15" s="10">
        <f>E15*F15</f>
        <v/>
      </c>
      <c r="Y15" s="11">
        <f>W15-X15</f>
        <v/>
      </c>
      <c r="Z15" s="12">
        <f>IFERROR(Y15/X15,"")</f>
        <v/>
      </c>
      <c r="AA15" s="13">
        <f>W15/$W$27</f>
        <v/>
      </c>
      <c r="AB15" s="12">
        <f>IFERROR(IF(N(H15)&gt;0,H15/G15-1,""),"")</f>
        <v/>
      </c>
      <c r="AC15" s="12">
        <f>IFERROR(V15/I15-1,"")</f>
        <v/>
      </c>
      <c r="AD15" s="12">
        <f>IFERROR(V15/J15-1,"")</f>
        <v/>
      </c>
      <c r="AE15" s="12">
        <f>IFERROR(V15/M15-1,"")</f>
        <v/>
      </c>
      <c r="AF15" s="12">
        <f>IF(N(Q15)&gt;0,Q15/V15-1,"")</f>
        <v/>
      </c>
      <c r="AG15" s="9">
        <f>IF(N(Q15)&gt;0,Q15*Inputs!$B$7,"")</f>
        <v/>
      </c>
      <c r="AH15" s="9">
        <f>IF(N(Q15)&gt;0,Q15*(1+Inputs!$B$8),"")</f>
        <v/>
      </c>
      <c r="AI15" s="14">
        <f>E15*Inputs!$B$9</f>
        <v/>
      </c>
      <c r="AJ15" s="10">
        <f>IF(N(AG15)&gt;0,AI15*AG15,"")</f>
        <v/>
      </c>
      <c r="AK15" s="9">
        <f>MAX(K15*(1-Inputs!$B$10),F15*(1-IF(ISNUMBER(SEARCH("Lev",C15)),Inputs!$B$12,Inputs!$B$11)))</f>
        <v/>
      </c>
      <c r="AL15" s="12">
        <f>IFERROR(V15/AK15-1,"")</f>
        <v/>
      </c>
      <c r="AM15" s="9">
        <f>IF(V15&gt;=F15/(1-Inputs!$B$13),MAX(F15,L15*(1-Inputs!$B$13)),"not green yet")</f>
        <v/>
      </c>
      <c r="AN15" s="15">
        <f>IF(AND(N(Q15)&gt;0,V15&gt;AK15,AG15&gt;V15),(AG15-V15)/(V15-AK15),"")</f>
        <v/>
      </c>
      <c r="AO15" s="16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7" t="inlineStr"/>
    </row>
    <row r="16">
      <c r="A16" s="5" t="inlineStr">
        <is>
          <t>CRDO</t>
        </is>
      </c>
      <c r="B16" s="5" t="inlineStr">
        <is>
          <t>Credo Technology</t>
        </is>
      </c>
      <c r="C16" s="5" t="inlineStr">
        <is>
          <t>Stock</t>
        </is>
      </c>
      <c r="D16" s="5" t="inlineStr">
        <is>
          <t>Semiconductors</t>
        </is>
      </c>
      <c r="E16" s="6" t="n">
        <v>25</v>
      </c>
      <c r="F16" s="7" t="n">
        <v>164.53</v>
      </c>
      <c r="G16" s="7" t="n">
        <v>165.29</v>
      </c>
      <c r="H16" s="7" t="n">
        <v>155.65</v>
      </c>
      <c r="I16" s="7" t="n">
        <v>190.17</v>
      </c>
      <c r="J16" s="7" t="n">
        <v>181.14</v>
      </c>
      <c r="K16" s="7" t="n">
        <v>142.89</v>
      </c>
      <c r="L16" s="7" t="n">
        <v>286.24</v>
      </c>
      <c r="M16" s="7" t="n">
        <v>308.67</v>
      </c>
      <c r="N16" s="7" t="n">
        <v>189.97</v>
      </c>
      <c r="O16" s="7" t="n">
        <v>281.59</v>
      </c>
      <c r="P16" s="7" t="n">
        <v>292</v>
      </c>
      <c r="Q16" s="7" t="n">
        <v>281.59</v>
      </c>
      <c r="R16" s="5" t="inlineStr">
        <is>
          <t>LOW</t>
        </is>
      </c>
      <c r="S16" s="5" t="inlineStr">
        <is>
          <t>EXPENSIVE -35% (med)</t>
        </is>
      </c>
      <c r="T16" s="5" t="inlineStr">
        <is>
          <t>DISRUPTOR</t>
        </is>
      </c>
      <c r="U16" s="8" t="inlineStr">
        <is>
          <t>n/a</t>
        </is>
      </c>
      <c r="V16" s="9">
        <f>IF(AND(Inputs!$B$6="After-hours",N(H16)&gt;0),H16,G16)</f>
        <v/>
      </c>
      <c r="W16" s="10">
        <f>E16*V16</f>
        <v/>
      </c>
      <c r="X16" s="10">
        <f>E16*F16</f>
        <v/>
      </c>
      <c r="Y16" s="11">
        <f>W16-X16</f>
        <v/>
      </c>
      <c r="Z16" s="12">
        <f>IFERROR(Y16/X16,"")</f>
        <v/>
      </c>
      <c r="AA16" s="13">
        <f>W16/$W$27</f>
        <v/>
      </c>
      <c r="AB16" s="12">
        <f>IFERROR(IF(N(H16)&gt;0,H16/G16-1,""),"")</f>
        <v/>
      </c>
      <c r="AC16" s="12">
        <f>IFERROR(V16/I16-1,"")</f>
        <v/>
      </c>
      <c r="AD16" s="12">
        <f>IFERROR(V16/J16-1,"")</f>
        <v/>
      </c>
      <c r="AE16" s="12">
        <f>IFERROR(V16/M16-1,"")</f>
        <v/>
      </c>
      <c r="AF16" s="12">
        <f>IF(N(Q16)&gt;0,Q16/V16-1,"")</f>
        <v/>
      </c>
      <c r="AG16" s="9">
        <f>IF(N(Q16)&gt;0,Q16*Inputs!$B$7,"")</f>
        <v/>
      </c>
      <c r="AH16" s="9">
        <f>IF(N(Q16)&gt;0,Q16*(1+Inputs!$B$8),"")</f>
        <v/>
      </c>
      <c r="AI16" s="14">
        <f>E16*Inputs!$B$9</f>
        <v/>
      </c>
      <c r="AJ16" s="10">
        <f>IF(N(AG16)&gt;0,AI16*AG16,"")</f>
        <v/>
      </c>
      <c r="AK16" s="9">
        <f>MAX(K16*(1-Inputs!$B$10),F16*(1-IF(ISNUMBER(SEARCH("Lev",C16)),Inputs!$B$12,Inputs!$B$11)))</f>
        <v/>
      </c>
      <c r="AL16" s="12">
        <f>IFERROR(V16/AK16-1,"")</f>
        <v/>
      </c>
      <c r="AM16" s="9">
        <f>IF(V16&gt;=F16/(1-Inputs!$B$13),MAX(F16,L16*(1-Inputs!$B$13)),"not green yet")</f>
        <v/>
      </c>
      <c r="AN16" s="15">
        <f>IF(AND(N(Q16)&gt;0,V16&gt;AK16,AG16&gt;V16),(AG16-V16)/(V16-AK16),"")</f>
        <v/>
      </c>
      <c r="AO16" s="16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7" t="inlineStr">
        <is>
          <t>-5.8% after hours.</t>
        </is>
      </c>
    </row>
    <row r="17">
      <c r="A17" s="5" t="inlineStr">
        <is>
          <t>SNDK</t>
        </is>
      </c>
      <c r="B17" s="5" t="inlineStr">
        <is>
          <t>Sandisk</t>
        </is>
      </c>
      <c r="C17" s="5" t="inlineStr">
        <is>
          <t>Stock</t>
        </is>
      </c>
      <c r="D17" s="5" t="inlineStr">
        <is>
          <t>Memory</t>
        </is>
      </c>
      <c r="E17" s="6" t="n">
        <v>3</v>
      </c>
      <c r="F17" s="7" t="n">
        <v>1278.16</v>
      </c>
      <c r="G17" s="7" t="n">
        <v>1330.05</v>
      </c>
      <c r="H17" s="7" t="n">
        <v>1309.34</v>
      </c>
      <c r="I17" s="7" t="n">
        <v>1568.4</v>
      </c>
      <c r="J17" s="7" t="n">
        <v>1255.73</v>
      </c>
      <c r="K17" s="7" t="n">
        <v>1163.09</v>
      </c>
      <c r="L17" s="7" t="n">
        <v>1909.48</v>
      </c>
      <c r="M17" s="7" t="n">
        <v>2354.39</v>
      </c>
      <c r="N17" s="7" t="n"/>
      <c r="O17" s="7" t="n">
        <v>2287.38</v>
      </c>
      <c r="P17" s="7" t="n">
        <v>1737.5</v>
      </c>
      <c r="Q17" s="7" t="n">
        <v>2012.44</v>
      </c>
      <c r="R17" s="5" t="inlineStr">
        <is>
          <t>MED</t>
        </is>
      </c>
      <c r="S17" s="5" t="inlineStr">
        <is>
          <t>EXPENSIVE -50% (low)</t>
        </is>
      </c>
      <c r="T17" s="5" t="inlineStr">
        <is>
          <t>INNOVATING</t>
        </is>
      </c>
      <c r="U17" s="8" t="n">
        <v>46324</v>
      </c>
      <c r="V17" s="9">
        <f>IF(AND(Inputs!$B$6="After-hours",N(H17)&gt;0),H17,G17)</f>
        <v/>
      </c>
      <c r="W17" s="10">
        <f>E17*V17</f>
        <v/>
      </c>
      <c r="X17" s="10">
        <f>E17*F17</f>
        <v/>
      </c>
      <c r="Y17" s="11">
        <f>W17-X17</f>
        <v/>
      </c>
      <c r="Z17" s="12">
        <f>IFERROR(Y17/X17,"")</f>
        <v/>
      </c>
      <c r="AA17" s="13">
        <f>W17/$W$27</f>
        <v/>
      </c>
      <c r="AB17" s="12">
        <f>IFERROR(IF(N(H17)&gt;0,H17/G17-1,""),"")</f>
        <v/>
      </c>
      <c r="AC17" s="12">
        <f>IFERROR(V17/I17-1,"")</f>
        <v/>
      </c>
      <c r="AD17" s="12">
        <f>IFERROR(V17/J17-1,"")</f>
        <v/>
      </c>
      <c r="AE17" s="12">
        <f>IFERROR(V17/M17-1,"")</f>
        <v/>
      </c>
      <c r="AF17" s="12">
        <f>IF(N(Q17)&gt;0,Q17/V17-1,"")</f>
        <v/>
      </c>
      <c r="AG17" s="9">
        <f>IF(N(Q17)&gt;0,Q17*Inputs!$B$7,"")</f>
        <v/>
      </c>
      <c r="AH17" s="9">
        <f>IF(N(Q17)&gt;0,Q17*(1+Inputs!$B$8),"")</f>
        <v/>
      </c>
      <c r="AI17" s="14">
        <f>E17*Inputs!$B$9</f>
        <v/>
      </c>
      <c r="AJ17" s="10">
        <f>IF(N(AG17)&gt;0,AI17*AG17,"")</f>
        <v/>
      </c>
      <c r="AK17" s="9">
        <f>MAX(K17*(1-Inputs!$B$10),F17*(1-IF(ISNUMBER(SEARCH("Lev",C17)),Inputs!$B$12,Inputs!$B$11)))</f>
        <v/>
      </c>
      <c r="AL17" s="12">
        <f>IFERROR(V17/AK17-1,"")</f>
        <v/>
      </c>
      <c r="AM17" s="9">
        <f>IF(V17&gt;=F17/(1-Inputs!$B$13),MAX(F17,L17*(1-Inputs!$B$13)),"not green yet")</f>
        <v/>
      </c>
      <c r="AN17" s="15">
        <f>IF(AND(N(Q17)&gt;0,V17&gt;AK17,AG17&gt;V17),(AG17-V17)/(V17-AK17),"")</f>
        <v/>
      </c>
      <c r="AO17" s="16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7" t="inlineStr">
        <is>
          <t>FQ1 EPS 49.51 vs 46.36 est (beat).</t>
        </is>
      </c>
    </row>
    <row r="18">
      <c r="A18" s="5" t="inlineStr">
        <is>
          <t>OKLO</t>
        </is>
      </c>
      <c r="B18" s="5" t="inlineStr">
        <is>
          <t>Oklo</t>
        </is>
      </c>
      <c r="C18" s="5" t="inlineStr">
        <is>
          <t>Stock</t>
        </is>
      </c>
      <c r="D18" s="5" t="inlineStr">
        <is>
          <t>Nuclear (pre-revenue)</t>
        </is>
      </c>
      <c r="E18" s="6" t="n">
        <v>100</v>
      </c>
      <c r="F18" s="7" t="n">
        <v>26.73</v>
      </c>
      <c r="G18" s="7" t="n">
        <v>26.81</v>
      </c>
      <c r="H18" s="7" t="n">
        <v>25.78</v>
      </c>
      <c r="I18" s="7" t="n">
        <v>35.86</v>
      </c>
      <c r="J18" s="7" t="n">
        <v>54.21</v>
      </c>
      <c r="K18" s="7" t="n">
        <v>25.39</v>
      </c>
      <c r="L18" s="7" t="n">
        <v>49.48</v>
      </c>
      <c r="M18" s="7" t="n">
        <v>145.3</v>
      </c>
      <c r="N18" s="7" t="n"/>
      <c r="O18" s="7" t="n">
        <v>62.83</v>
      </c>
      <c r="P18" s="7" t="n">
        <v>37</v>
      </c>
      <c r="Q18" s="7" t="n">
        <v>49.91</v>
      </c>
      <c r="R18" s="5" t="inlineStr">
        <is>
          <t>LOW</t>
        </is>
      </c>
      <c r="S18" s="5" t="inlineStr">
        <is>
          <t>n/a</t>
        </is>
      </c>
      <c r="T18" s="5" t="inlineStr">
        <is>
          <t>N/A</t>
        </is>
      </c>
      <c r="U18" s="8" t="n">
        <v>46332</v>
      </c>
      <c r="V18" s="9">
        <f>IF(AND(Inputs!$B$6="After-hours",N(H18)&gt;0),H18,G18)</f>
        <v/>
      </c>
      <c r="W18" s="10">
        <f>E18*V18</f>
        <v/>
      </c>
      <c r="X18" s="10">
        <f>E18*F18</f>
        <v/>
      </c>
      <c r="Y18" s="11">
        <f>W18-X18</f>
        <v/>
      </c>
      <c r="Z18" s="12">
        <f>IFERROR(Y18/X18,"")</f>
        <v/>
      </c>
      <c r="AA18" s="13">
        <f>W18/$W$27</f>
        <v/>
      </c>
      <c r="AB18" s="12">
        <f>IFERROR(IF(N(H18)&gt;0,H18/G18-1,""),"")</f>
        <v/>
      </c>
      <c r="AC18" s="12">
        <f>IFERROR(V18/I18-1,"")</f>
        <v/>
      </c>
      <c r="AD18" s="12">
        <f>IFERROR(V18/J18-1,"")</f>
        <v/>
      </c>
      <c r="AE18" s="12">
        <f>IFERROR(V18/M18-1,"")</f>
        <v/>
      </c>
      <c r="AF18" s="12">
        <f>IF(N(Q18)&gt;0,Q18/V18-1,"")</f>
        <v/>
      </c>
      <c r="AG18" s="9">
        <f>IF(N(Q18)&gt;0,Q18*Inputs!$B$7,"")</f>
        <v/>
      </c>
      <c r="AH18" s="9">
        <f>IF(N(Q18)&gt;0,Q18*(1+Inputs!$B$8),"")</f>
        <v/>
      </c>
      <c r="AI18" s="14">
        <f>E18*Inputs!$B$9</f>
        <v/>
      </c>
      <c r="AJ18" s="10">
        <f>IF(N(AG18)&gt;0,AI18*AG18,"")</f>
        <v/>
      </c>
      <c r="AK18" s="9">
        <f>MAX(K18*(1-Inputs!$B$10),F18*(1-IF(ISNUMBER(SEARCH("Lev",C18)),Inputs!$B$12,Inputs!$B$11)))</f>
        <v/>
      </c>
      <c r="AL18" s="12">
        <f>IFERROR(V18/AK18-1,"")</f>
        <v/>
      </c>
      <c r="AM18" s="9">
        <f>IF(V18&gt;=F18/(1-Inputs!$B$13),MAX(F18,L18*(1-Inputs!$B$13)),"not green yet")</f>
        <v/>
      </c>
      <c r="AN18" s="15">
        <f>IF(AND(N(Q18)&gt;0,V18&gt;AK18,AG18&gt;V18),(AG18-V18)/(V18-AK18),"")</f>
        <v/>
      </c>
      <c r="AO18" s="16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7" t="inlineStr">
        <is>
          <t>At 52-week low. Targets disagree (52% spread).</t>
        </is>
      </c>
    </row>
    <row r="19">
      <c r="A19" s="5" t="inlineStr">
        <is>
          <t>AAOX</t>
        </is>
      </c>
      <c r="B19" s="5" t="inlineStr">
        <is>
          <t>AAOI 2x Leveraged ETF</t>
        </is>
      </c>
      <c r="C19" s="5" t="inlineStr">
        <is>
          <t>2x Lev ETF</t>
        </is>
      </c>
      <c r="D19" s="5" t="inlineStr">
        <is>
          <t>Optical networking</t>
        </is>
      </c>
      <c r="E19" s="6" t="n">
        <v>500</v>
      </c>
      <c r="F19" s="7" t="n">
        <v>3.84</v>
      </c>
      <c r="G19" s="7" t="n">
        <v>5.1</v>
      </c>
      <c r="H19" s="7" t="n">
        <v>4.49</v>
      </c>
      <c r="I19" s="7" t="n">
        <v>9.57</v>
      </c>
      <c r="J19" s="7" t="n">
        <v>28.89</v>
      </c>
      <c r="K19" s="7" t="n">
        <v>3.6</v>
      </c>
      <c r="L19" s="7" t="n">
        <v>27.57</v>
      </c>
      <c r="M19" s="7" t="n">
        <v>103</v>
      </c>
      <c r="N19" s="7" t="n"/>
      <c r="O19" s="7" t="n"/>
      <c r="P19" s="7" t="n"/>
      <c r="Q19" s="7" t="n">
        <v>9.57</v>
      </c>
      <c r="R19" s="5" t="inlineStr">
        <is>
          <t>TECH (50-day)</t>
        </is>
      </c>
      <c r="S19" s="5" t="inlineStr">
        <is>
          <t>n/a</t>
        </is>
      </c>
      <c r="T19" s="5" t="inlineStr">
        <is>
          <t>n/a</t>
        </is>
      </c>
      <c r="U19" s="8" t="inlineStr">
        <is>
          <t>n/a</t>
        </is>
      </c>
      <c r="V19" s="9">
        <f>IF(AND(Inputs!$B$6="After-hours",N(H19)&gt;0),H19,G19)</f>
        <v/>
      </c>
      <c r="W19" s="10">
        <f>E19*V19</f>
        <v/>
      </c>
      <c r="X19" s="10">
        <f>E19*F19</f>
        <v/>
      </c>
      <c r="Y19" s="11">
        <f>W19-X19</f>
        <v/>
      </c>
      <c r="Z19" s="12">
        <f>IFERROR(Y19/X19,"")</f>
        <v/>
      </c>
      <c r="AA19" s="13">
        <f>W19/$W$27</f>
        <v/>
      </c>
      <c r="AB19" s="12">
        <f>IFERROR(IF(N(H19)&gt;0,H19/G19-1,""),"")</f>
        <v/>
      </c>
      <c r="AC19" s="12">
        <f>IFERROR(V19/I19-1,"")</f>
        <v/>
      </c>
      <c r="AD19" s="12">
        <f>IFERROR(V19/J19-1,"")</f>
        <v/>
      </c>
      <c r="AE19" s="12">
        <f>IFERROR(V19/M19-1,"")</f>
        <v/>
      </c>
      <c r="AF19" s="12">
        <f>IF(N(Q19)&gt;0,Q19/V19-1,"")</f>
        <v/>
      </c>
      <c r="AG19" s="9">
        <f>IF(N(Q19)&gt;0,Q19*Inputs!$B$7,"")</f>
        <v/>
      </c>
      <c r="AH19" s="9">
        <f>IF(N(Q19)&gt;0,Q19*(1+Inputs!$B$8),"")</f>
        <v/>
      </c>
      <c r="AI19" s="14">
        <f>E19*Inputs!$B$9</f>
        <v/>
      </c>
      <c r="AJ19" s="10">
        <f>IF(N(AG19)&gt;0,AI19*AG19,"")</f>
        <v/>
      </c>
      <c r="AK19" s="9">
        <f>MAX(K19*(1-Inputs!$B$10),F19*(1-IF(ISNUMBER(SEARCH("Lev",C19)),Inputs!$B$12,Inputs!$B$11)))</f>
        <v/>
      </c>
      <c r="AL19" s="12">
        <f>IFERROR(V19/AK19-1,"")</f>
        <v/>
      </c>
      <c r="AM19" s="9">
        <f>IF(V19&gt;=F19/(1-Inputs!$B$13),MAX(F19,L19*(1-Inputs!$B$13)),"not green yet")</f>
        <v/>
      </c>
      <c r="AN19" s="15">
        <f>IF(AND(N(Q19)&gt;0,V19&gt;AK19,AG19&gt;V19),(AG19-V19)/(V19-AK19),"")</f>
        <v/>
      </c>
      <c r="AO19" s="16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7" t="inlineStr">
        <is>
          <t>2x daily leverage on one stock; -95% from 52-wk high. Target = 50-day SMA.</t>
        </is>
      </c>
    </row>
    <row r="20">
      <c r="A20" s="5" t="inlineStr">
        <is>
          <t>GOOGL</t>
        </is>
      </c>
      <c r="B20" s="5" t="inlineStr">
        <is>
          <t>Alphabet</t>
        </is>
      </c>
      <c r="C20" s="5" t="inlineStr">
        <is>
          <t>Stock</t>
        </is>
      </c>
      <c r="D20" s="5" t="inlineStr">
        <is>
          <t>Internet</t>
        </is>
      </c>
      <c r="E20" s="6" t="n">
        <v>6.848872</v>
      </c>
      <c r="F20" s="7" t="n">
        <v>297.58</v>
      </c>
      <c r="G20" s="7" t="n">
        <v>283.82</v>
      </c>
      <c r="H20" s="7" t="n">
        <v>282.23</v>
      </c>
      <c r="I20" s="7" t="n">
        <v>341.11</v>
      </c>
      <c r="J20" s="7" t="n">
        <v>341.14</v>
      </c>
      <c r="K20" s="7" t="n">
        <v>316.6</v>
      </c>
      <c r="L20" s="7" t="n">
        <v>364.17</v>
      </c>
      <c r="M20" s="7" t="n">
        <v>408.61</v>
      </c>
      <c r="N20" s="7" t="n">
        <v>367.54</v>
      </c>
      <c r="O20" s="7" t="n">
        <v>405.31</v>
      </c>
      <c r="P20" s="7" t="n">
        <v>425</v>
      </c>
      <c r="Q20" s="7" t="n">
        <v>405.31</v>
      </c>
      <c r="R20" s="5" t="inlineStr">
        <is>
          <t>HIGH</t>
        </is>
      </c>
      <c r="S20" s="5" t="inlineStr">
        <is>
          <t>RICH -13% (low)</t>
        </is>
      </c>
      <c r="T20" s="5" t="inlineStr">
        <is>
          <t>DISRUPTOR</t>
        </is>
      </c>
      <c r="U20" s="8" t="inlineStr">
        <is>
          <t>n/a</t>
        </is>
      </c>
      <c r="V20" s="9">
        <f>IF(AND(Inputs!$B$6="After-hours",N(H20)&gt;0),H20,G20)</f>
        <v/>
      </c>
      <c r="W20" s="10">
        <f>E20*V20</f>
        <v/>
      </c>
      <c r="X20" s="10">
        <f>E20*F20</f>
        <v/>
      </c>
      <c r="Y20" s="11">
        <f>W20-X20</f>
        <v/>
      </c>
      <c r="Z20" s="12">
        <f>IFERROR(Y20/X20,"")</f>
        <v/>
      </c>
      <c r="AA20" s="13">
        <f>W20/$W$27</f>
        <v/>
      </c>
      <c r="AB20" s="12">
        <f>IFERROR(IF(N(H20)&gt;0,H20/G20-1,""),"")</f>
        <v/>
      </c>
      <c r="AC20" s="12">
        <f>IFERROR(V20/I20-1,"")</f>
        <v/>
      </c>
      <c r="AD20" s="12">
        <f>IFERROR(V20/J20-1,"")</f>
        <v/>
      </c>
      <c r="AE20" s="12">
        <f>IFERROR(V20/M20-1,"")</f>
        <v/>
      </c>
      <c r="AF20" s="12">
        <f>IF(N(Q20)&gt;0,Q20/V20-1,"")</f>
        <v/>
      </c>
      <c r="AG20" s="9">
        <f>IF(N(Q20)&gt;0,Q20*Inputs!$B$7,"")</f>
        <v/>
      </c>
      <c r="AH20" s="9">
        <f>IF(N(Q20)&gt;0,Q20*(1+Inputs!$B$8),"")</f>
        <v/>
      </c>
      <c r="AI20" s="14">
        <f>E20*Inputs!$B$9</f>
        <v/>
      </c>
      <c r="AJ20" s="10">
        <f>IF(N(AG20)&gt;0,AI20*AG20,"")</f>
        <v/>
      </c>
      <c r="AK20" s="9">
        <f>MAX(K20*(1-Inputs!$B$10),F20*(1-IF(ISNUMBER(SEARCH("Lev",C20)),Inputs!$B$12,Inputs!$B$11)))</f>
        <v/>
      </c>
      <c r="AL20" s="12">
        <f>IFERROR(V20/AK20-1,"")</f>
        <v/>
      </c>
      <c r="AM20" s="9">
        <f>IF(V20&gt;=F20/(1-Inputs!$B$13),MAX(F20,L20*(1-Inputs!$B$13)),"not green yet")</f>
        <v/>
      </c>
      <c r="AN20" s="15">
        <f>IF(AND(N(Q20)&gt;0,V20&gt;AK20,AG20&gt;V20),(AG20-V20)/(V20-AK20),"")</f>
        <v/>
      </c>
      <c r="AO20" s="16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7" t="inlineStr">
        <is>
          <t>Well below 60-day low and both moving averages.</t>
        </is>
      </c>
    </row>
    <row r="21">
      <c r="A21" s="5" t="inlineStr">
        <is>
          <t>IONQ</t>
        </is>
      </c>
      <c r="B21" s="5" t="inlineStr">
        <is>
          <t>IonQ</t>
        </is>
      </c>
      <c r="C21" s="5" t="inlineStr">
        <is>
          <t>Stock</t>
        </is>
      </c>
      <c r="D21" s="5" t="inlineStr">
        <is>
          <t>Quantum computing</t>
        </is>
      </c>
      <c r="E21" s="6" t="n">
        <v>30</v>
      </c>
      <c r="F21" s="7" t="n">
        <v>33.21</v>
      </c>
      <c r="G21" s="7" t="n">
        <v>31.72</v>
      </c>
      <c r="H21" s="7" t="n">
        <v>30.81</v>
      </c>
      <c r="I21" s="7" t="n">
        <v>38.44</v>
      </c>
      <c r="J21" s="7" t="n">
        <v>42.15</v>
      </c>
      <c r="K21" s="7" t="n">
        <v>29.94</v>
      </c>
      <c r="L21" s="7" t="n">
        <v>47.95</v>
      </c>
      <c r="M21" s="7" t="n">
        <v>73.65000000000001</v>
      </c>
      <c r="N21" s="7" t="n"/>
      <c r="O21" s="7" t="n">
        <v>65.77</v>
      </c>
      <c r="P21" s="7" t="n"/>
      <c r="Q21" s="7" t="n">
        <v>65.77</v>
      </c>
      <c r="R21" s="5" t="inlineStr">
        <is>
          <t>LOW</t>
        </is>
      </c>
      <c r="S21" s="5" t="inlineStr">
        <is>
          <t>n/a</t>
        </is>
      </c>
      <c r="T21" s="5" t="inlineStr">
        <is>
          <t>n/a</t>
        </is>
      </c>
      <c r="U21" s="8" t="n">
        <v>46331</v>
      </c>
      <c r="V21" s="9">
        <f>IF(AND(Inputs!$B$6="After-hours",N(H21)&gt;0),H21,G21)</f>
        <v/>
      </c>
      <c r="W21" s="10">
        <f>E21*V21</f>
        <v/>
      </c>
      <c r="X21" s="10">
        <f>E21*F21</f>
        <v/>
      </c>
      <c r="Y21" s="11">
        <f>W21-X21</f>
        <v/>
      </c>
      <c r="Z21" s="12">
        <f>IFERROR(Y21/X21,"")</f>
        <v/>
      </c>
      <c r="AA21" s="13">
        <f>W21/$W$27</f>
        <v/>
      </c>
      <c r="AB21" s="12">
        <f>IFERROR(IF(N(H21)&gt;0,H21/G21-1,""),"")</f>
        <v/>
      </c>
      <c r="AC21" s="12">
        <f>IFERROR(V21/I21-1,"")</f>
        <v/>
      </c>
      <c r="AD21" s="12">
        <f>IFERROR(V21/J21-1,"")</f>
        <v/>
      </c>
      <c r="AE21" s="12">
        <f>IFERROR(V21/M21-1,"")</f>
        <v/>
      </c>
      <c r="AF21" s="12">
        <f>IF(N(Q21)&gt;0,Q21/V21-1,"")</f>
        <v/>
      </c>
      <c r="AG21" s="9">
        <f>IF(N(Q21)&gt;0,Q21*Inputs!$B$7,"")</f>
        <v/>
      </c>
      <c r="AH21" s="9">
        <f>IF(N(Q21)&gt;0,Q21*(1+Inputs!$B$8),"")</f>
        <v/>
      </c>
      <c r="AI21" s="14">
        <f>E21*Inputs!$B$9</f>
        <v/>
      </c>
      <c r="AJ21" s="10">
        <f>IF(N(AG21)&gt;0,AI21*AG21,"")</f>
        <v/>
      </c>
      <c r="AK21" s="9">
        <f>MAX(K21*(1-Inputs!$B$10),F21*(1-IF(ISNUMBER(SEARCH("Lev",C21)),Inputs!$B$12,Inputs!$B$11)))</f>
        <v/>
      </c>
      <c r="AL21" s="12">
        <f>IFERROR(V21/AK21-1,"")</f>
        <v/>
      </c>
      <c r="AM21" s="9">
        <f>IF(V21&gt;=F21/(1-Inputs!$B$13),MAX(F21,L21*(1-Inputs!$B$13)),"not green yet")</f>
        <v/>
      </c>
      <c r="AN21" s="15">
        <f>IF(AND(N(Q21)&gt;0,V21&gt;AK21,AG21&gt;V21),(AG21-V21)/(V21-AK21),"")</f>
        <v/>
      </c>
      <c r="AO21" s="16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7" t="inlineStr">
        <is>
          <t>Only one target method available.</t>
        </is>
      </c>
    </row>
    <row r="22">
      <c r="A22" s="5" t="inlineStr">
        <is>
          <t>AUR</t>
        </is>
      </c>
      <c r="B22" s="5" t="inlineStr">
        <is>
          <t>Aurora Innovation</t>
        </is>
      </c>
      <c r="C22" s="5" t="inlineStr">
        <is>
          <t>Stock</t>
        </is>
      </c>
      <c r="D22" s="5" t="inlineStr">
        <is>
          <t>Autonomous trucking</t>
        </is>
      </c>
      <c r="E22" s="6" t="n">
        <v>200</v>
      </c>
      <c r="F22" s="7" t="n">
        <v>4.91</v>
      </c>
      <c r="G22" s="7" t="n">
        <v>4.405</v>
      </c>
      <c r="H22" s="7" t="n">
        <v>4.37</v>
      </c>
      <c r="I22" s="7" t="n">
        <v>5.73</v>
      </c>
      <c r="J22" s="7" t="n">
        <v>5.63</v>
      </c>
      <c r="K22" s="7" t="n">
        <v>4.4</v>
      </c>
      <c r="L22" s="7" t="n">
        <v>7.16</v>
      </c>
      <c r="M22" s="7" t="n">
        <v>8.57</v>
      </c>
      <c r="N22" s="7" t="n"/>
      <c r="O22" s="7" t="n">
        <v>11.33</v>
      </c>
      <c r="P22" s="7" t="n">
        <v>12.5</v>
      </c>
      <c r="Q22" s="7" t="n">
        <v>11.91</v>
      </c>
      <c r="R22" s="5" t="inlineStr">
        <is>
          <t>MED</t>
        </is>
      </c>
      <c r="S22" s="5" t="inlineStr">
        <is>
          <t>n/a</t>
        </is>
      </c>
      <c r="T22" s="5" t="inlineStr">
        <is>
          <t>INNOVATING</t>
        </is>
      </c>
      <c r="U22" s="8" t="inlineStr">
        <is>
          <t>n/a</t>
        </is>
      </c>
      <c r="V22" s="9">
        <f>IF(AND(Inputs!$B$6="After-hours",N(H22)&gt;0),H22,G22)</f>
        <v/>
      </c>
      <c r="W22" s="10">
        <f>E22*V22</f>
        <v/>
      </c>
      <c r="X22" s="10">
        <f>E22*F22</f>
        <v/>
      </c>
      <c r="Y22" s="11">
        <f>W22-X22</f>
        <v/>
      </c>
      <c r="Z22" s="12">
        <f>IFERROR(Y22/X22,"")</f>
        <v/>
      </c>
      <c r="AA22" s="13">
        <f>W22/$W$27</f>
        <v/>
      </c>
      <c r="AB22" s="12">
        <f>IFERROR(IF(N(H22)&gt;0,H22/G22-1,""),"")</f>
        <v/>
      </c>
      <c r="AC22" s="12">
        <f>IFERROR(V22/I22-1,"")</f>
        <v/>
      </c>
      <c r="AD22" s="12">
        <f>IFERROR(V22/J22-1,"")</f>
        <v/>
      </c>
      <c r="AE22" s="12">
        <f>IFERROR(V22/M22-1,"")</f>
        <v/>
      </c>
      <c r="AF22" s="12">
        <f>IF(N(Q22)&gt;0,Q22/V22-1,"")</f>
        <v/>
      </c>
      <c r="AG22" s="9">
        <f>IF(N(Q22)&gt;0,Q22*Inputs!$B$7,"")</f>
        <v/>
      </c>
      <c r="AH22" s="9">
        <f>IF(N(Q22)&gt;0,Q22*(1+Inputs!$B$8),"")</f>
        <v/>
      </c>
      <c r="AI22" s="14">
        <f>E22*Inputs!$B$9</f>
        <v/>
      </c>
      <c r="AJ22" s="10">
        <f>IF(N(AG22)&gt;0,AI22*AG22,"")</f>
        <v/>
      </c>
      <c r="AK22" s="9">
        <f>MAX(K22*(1-Inputs!$B$10),F22*(1-IF(ISNUMBER(SEARCH("Lev",C22)),Inputs!$B$12,Inputs!$B$11)))</f>
        <v/>
      </c>
      <c r="AL22" s="12">
        <f>IFERROR(V22/AK22-1,"")</f>
        <v/>
      </c>
      <c r="AM22" s="9">
        <f>IF(V22&gt;=F22/(1-Inputs!$B$13),MAX(F22,L22*(1-Inputs!$B$13)),"not green yet")</f>
        <v/>
      </c>
      <c r="AN22" s="15">
        <f>IF(AND(N(Q22)&gt;0,V22&gt;AK22,AG22&gt;V22),(AG22-V22)/(V22-AK22),"")</f>
        <v/>
      </c>
      <c r="AO22" s="16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7" t="inlineStr">
        <is>
          <t>Sitting on its 60-day low.</t>
        </is>
      </c>
    </row>
    <row r="23">
      <c r="A23" s="5" t="inlineStr">
        <is>
          <t>QQQI</t>
        </is>
      </c>
      <c r="B23" s="5" t="inlineStr">
        <is>
          <t>NEOS Nasdaq-100 Income</t>
        </is>
      </c>
      <c r="C23" s="5" t="inlineStr">
        <is>
          <t>ETF</t>
        </is>
      </c>
      <c r="D23" s="5" t="inlineStr">
        <is>
          <t>Nasdaq-100 covered call</t>
        </is>
      </c>
      <c r="E23" s="6" t="n">
        <v>0.567476</v>
      </c>
      <c r="F23" s="7" t="n">
        <v>53.83</v>
      </c>
      <c r="G23" s="7" t="n">
        <v>53.42</v>
      </c>
      <c r="H23" s="7" t="n">
        <v>52.61</v>
      </c>
      <c r="I23" s="7" t="n">
        <v>54.72</v>
      </c>
      <c r="J23" s="7" t="n">
        <v>54.18</v>
      </c>
      <c r="K23" s="7" t="n">
        <v>52.36</v>
      </c>
      <c r="L23" s="7" t="n">
        <v>56.84</v>
      </c>
      <c r="M23" s="7" t="n">
        <v>57.84</v>
      </c>
      <c r="N23" s="7" t="n"/>
      <c r="O23" s="7" t="n"/>
      <c r="P23" s="7" t="n"/>
      <c r="Q23" s="7" t="n"/>
      <c r="R23" s="5" t="inlineStr">
        <is>
          <t>n/a</t>
        </is>
      </c>
      <c r="S23" s="5" t="inlineStr">
        <is>
          <t>n/a</t>
        </is>
      </c>
      <c r="T23" s="5" t="inlineStr">
        <is>
          <t>N/A</t>
        </is>
      </c>
      <c r="U23" s="8" t="inlineStr">
        <is>
          <t>n/a</t>
        </is>
      </c>
      <c r="V23" s="9">
        <f>IF(AND(Inputs!$B$6="After-hours",N(H23)&gt;0),H23,G23)</f>
        <v/>
      </c>
      <c r="W23" s="10">
        <f>E23*V23</f>
        <v/>
      </c>
      <c r="X23" s="10">
        <f>E23*F23</f>
        <v/>
      </c>
      <c r="Y23" s="11">
        <f>W23-X23</f>
        <v/>
      </c>
      <c r="Z23" s="12">
        <f>IFERROR(Y23/X23,"")</f>
        <v/>
      </c>
      <c r="AA23" s="13">
        <f>W23/$W$27</f>
        <v/>
      </c>
      <c r="AB23" s="12">
        <f>IFERROR(IF(N(H23)&gt;0,H23/G23-1,""),"")</f>
        <v/>
      </c>
      <c r="AC23" s="12">
        <f>IFERROR(V23/I23-1,"")</f>
        <v/>
      </c>
      <c r="AD23" s="12">
        <f>IFERROR(V23/J23-1,"")</f>
        <v/>
      </c>
      <c r="AE23" s="12">
        <f>IFERROR(V23/M23-1,"")</f>
        <v/>
      </c>
      <c r="AF23" s="12">
        <f>IF(N(Q23)&gt;0,Q23/V23-1,"")</f>
        <v/>
      </c>
      <c r="AG23" s="9">
        <f>IF(N(Q23)&gt;0,Q23*Inputs!$B$7,"")</f>
        <v/>
      </c>
      <c r="AH23" s="9">
        <f>IF(N(Q23)&gt;0,Q23*(1+Inputs!$B$8),"")</f>
        <v/>
      </c>
      <c r="AI23" s="14">
        <f>E23*Inputs!$B$9</f>
        <v/>
      </c>
      <c r="AJ23" s="10">
        <f>IF(N(AG23)&gt;0,AI23*AG23,"")</f>
        <v/>
      </c>
      <c r="AK23" s="9">
        <f>MAX(K23*(1-Inputs!$B$10),F23*(1-IF(ISNUMBER(SEARCH("Lev",C23)),Inputs!$B$12,Inputs!$B$11)))</f>
        <v/>
      </c>
      <c r="AL23" s="12">
        <f>IFERROR(V23/AK23-1,"")</f>
        <v/>
      </c>
      <c r="AM23" s="9">
        <f>IF(V23&gt;=F23/(1-Inputs!$B$13),MAX(F23,L23*(1-Inputs!$B$13)),"not green yet")</f>
        <v/>
      </c>
      <c r="AN23" s="15">
        <f>IF(AND(N(Q23)&gt;0,V23&gt;AK23,AG23&gt;V23),(AG23-V23)/(V23-AK23),"")</f>
        <v/>
      </c>
      <c r="AO23" s="16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7" t="inlineStr">
        <is>
          <t>Fractional leftover (~$30).</t>
        </is>
      </c>
    </row>
    <row r="24">
      <c r="A24" s="5" t="inlineStr">
        <is>
          <t>QQQ</t>
        </is>
      </c>
      <c r="B24" s="5" t="inlineStr">
        <is>
          <t>Invesco QQQ</t>
        </is>
      </c>
      <c r="C24" s="5" t="inlineStr">
        <is>
          <t>ETF</t>
        </is>
      </c>
      <c r="D24" s="5" t="inlineStr">
        <is>
          <t>Nasdaq-100</t>
        </is>
      </c>
      <c r="E24" s="6" t="n">
        <v>0.04204</v>
      </c>
      <c r="F24" s="7" t="n">
        <v>713.61</v>
      </c>
      <c r="G24" s="7" t="n">
        <v>715.34</v>
      </c>
      <c r="H24" s="7" t="n">
        <v>702.61</v>
      </c>
      <c r="I24" s="7" t="n">
        <v>725.61</v>
      </c>
      <c r="J24" s="7" t="n">
        <v>679.22</v>
      </c>
      <c r="K24" s="7" t="n">
        <v>700</v>
      </c>
      <c r="L24" s="7" t="n">
        <v>762.86</v>
      </c>
      <c r="M24" s="7" t="n">
        <v>762.86</v>
      </c>
      <c r="N24" s="7" t="n"/>
      <c r="O24" s="7" t="n"/>
      <c r="P24" s="7" t="n"/>
      <c r="Q24" s="7" t="n"/>
      <c r="R24" s="5" t="inlineStr">
        <is>
          <t>n/a</t>
        </is>
      </c>
      <c r="S24" s="5" t="inlineStr">
        <is>
          <t>n/a</t>
        </is>
      </c>
      <c r="T24" s="5" t="inlineStr">
        <is>
          <t>N/A</t>
        </is>
      </c>
      <c r="U24" s="8" t="inlineStr">
        <is>
          <t>n/a</t>
        </is>
      </c>
      <c r="V24" s="9">
        <f>IF(AND(Inputs!$B$6="After-hours",N(H24)&gt;0),H24,G24)</f>
        <v/>
      </c>
      <c r="W24" s="10">
        <f>E24*V24</f>
        <v/>
      </c>
      <c r="X24" s="10">
        <f>E24*F24</f>
        <v/>
      </c>
      <c r="Y24" s="11">
        <f>W24-X24</f>
        <v/>
      </c>
      <c r="Z24" s="12">
        <f>IFERROR(Y24/X24,"")</f>
        <v/>
      </c>
      <c r="AA24" s="13">
        <f>W24/$W$27</f>
        <v/>
      </c>
      <c r="AB24" s="12">
        <f>IFERROR(IF(N(H24)&gt;0,H24/G24-1,""),"")</f>
        <v/>
      </c>
      <c r="AC24" s="12">
        <f>IFERROR(V24/I24-1,"")</f>
        <v/>
      </c>
      <c r="AD24" s="12">
        <f>IFERROR(V24/J24-1,"")</f>
        <v/>
      </c>
      <c r="AE24" s="12">
        <f>IFERROR(V24/M24-1,"")</f>
        <v/>
      </c>
      <c r="AF24" s="12">
        <f>IF(N(Q24)&gt;0,Q24/V24-1,"")</f>
        <v/>
      </c>
      <c r="AG24" s="9">
        <f>IF(N(Q24)&gt;0,Q24*Inputs!$B$7,"")</f>
        <v/>
      </c>
      <c r="AH24" s="9">
        <f>IF(N(Q24)&gt;0,Q24*(1+Inputs!$B$8),"")</f>
        <v/>
      </c>
      <c r="AI24" s="14">
        <f>E24*Inputs!$B$9</f>
        <v/>
      </c>
      <c r="AJ24" s="10">
        <f>IF(N(AG24)&gt;0,AI24*AG24,"")</f>
        <v/>
      </c>
      <c r="AK24" s="9">
        <f>MAX(K24*(1-Inputs!$B$10),F24*(1-IF(ISNUMBER(SEARCH("Lev",C24)),Inputs!$B$12,Inputs!$B$11)))</f>
        <v/>
      </c>
      <c r="AL24" s="12">
        <f>IFERROR(V24/AK24-1,"")</f>
        <v/>
      </c>
      <c r="AM24" s="9">
        <f>IF(V24&gt;=F24/(1-Inputs!$B$13),MAX(F24,L24*(1-Inputs!$B$13)),"not green yet")</f>
        <v/>
      </c>
      <c r="AN24" s="15">
        <f>IF(AND(N(Q24)&gt;0,V24&gt;AK24,AG24&gt;V24),(AG24-V24)/(V24-AK24),"")</f>
        <v/>
      </c>
      <c r="AO24" s="16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17" t="inlineStr">
        <is>
          <t>Fractional leftover (~$30).</t>
        </is>
      </c>
    </row>
    <row r="25">
      <c r="A25" s="5" t="inlineStr">
        <is>
          <t>HOOD</t>
        </is>
      </c>
      <c r="B25" s="5" t="inlineStr">
        <is>
          <t>Robinhood Markets</t>
        </is>
      </c>
      <c r="C25" s="5" t="inlineStr">
        <is>
          <t>Stock</t>
        </is>
      </c>
      <c r="D25" s="5" t="inlineStr">
        <is>
          <t>Brokerage</t>
        </is>
      </c>
      <c r="E25" s="6" t="n">
        <v>0.010482</v>
      </c>
      <c r="F25" s="7" t="n">
        <v>90.63</v>
      </c>
      <c r="G25" s="7" t="n">
        <v>91.59</v>
      </c>
      <c r="H25" s="7" t="n">
        <v>87.37</v>
      </c>
      <c r="I25" s="7" t="n">
        <v>108.69</v>
      </c>
      <c r="J25" s="7" t="n">
        <v>92.76000000000001</v>
      </c>
      <c r="K25" s="7" t="n">
        <v>89.15000000000001</v>
      </c>
      <c r="L25" s="7" t="n">
        <v>126.74</v>
      </c>
      <c r="M25" s="7" t="n">
        <v>150.47</v>
      </c>
      <c r="N25" s="7" t="n"/>
      <c r="O25" s="7" t="n">
        <v>133.63</v>
      </c>
      <c r="P25" s="7" t="n">
        <v>145</v>
      </c>
      <c r="Q25" s="7" t="n">
        <v>139.31</v>
      </c>
      <c r="R25" s="5" t="inlineStr">
        <is>
          <t>MED</t>
        </is>
      </c>
      <c r="S25" s="5" t="inlineStr">
        <is>
          <t>n/a</t>
        </is>
      </c>
      <c r="T25" s="5" t="inlineStr">
        <is>
          <t>DISRUPTOR</t>
        </is>
      </c>
      <c r="U25" s="8" t="inlineStr">
        <is>
          <t>n/a</t>
        </is>
      </c>
      <c r="V25" s="9">
        <f>IF(AND(Inputs!$B$6="After-hours",N(H25)&gt;0),H25,G25)</f>
        <v/>
      </c>
      <c r="W25" s="10">
        <f>E25*V25</f>
        <v/>
      </c>
      <c r="X25" s="10">
        <f>E25*F25</f>
        <v/>
      </c>
      <c r="Y25" s="11">
        <f>W25-X25</f>
        <v/>
      </c>
      <c r="Z25" s="12">
        <f>IFERROR(Y25/X25,"")</f>
        <v/>
      </c>
      <c r="AA25" s="13">
        <f>W25/$W$27</f>
        <v/>
      </c>
      <c r="AB25" s="12">
        <f>IFERROR(IF(N(H25)&gt;0,H25/G25-1,""),"")</f>
        <v/>
      </c>
      <c r="AC25" s="12">
        <f>IFERROR(V25/I25-1,"")</f>
        <v/>
      </c>
      <c r="AD25" s="12">
        <f>IFERROR(V25/J25-1,"")</f>
        <v/>
      </c>
      <c r="AE25" s="12">
        <f>IFERROR(V25/M25-1,"")</f>
        <v/>
      </c>
      <c r="AF25" s="12">
        <f>IF(N(Q25)&gt;0,Q25/V25-1,"")</f>
        <v/>
      </c>
      <c r="AG25" s="9">
        <f>IF(N(Q25)&gt;0,Q25*Inputs!$B$7,"")</f>
        <v/>
      </c>
      <c r="AH25" s="9">
        <f>IF(N(Q25)&gt;0,Q25*(1+Inputs!$B$8),"")</f>
        <v/>
      </c>
      <c r="AI25" s="14">
        <f>E25*Inputs!$B$9</f>
        <v/>
      </c>
      <c r="AJ25" s="10">
        <f>IF(N(AG25)&gt;0,AI25*AG25,"")</f>
        <v/>
      </c>
      <c r="AK25" s="9">
        <f>MAX(K25*(1-Inputs!$B$10),F25*(1-IF(ISNUMBER(SEARCH("Lev",C25)),Inputs!$B$12,Inputs!$B$11)))</f>
        <v/>
      </c>
      <c r="AL25" s="12">
        <f>IFERROR(V25/AK25-1,"")</f>
        <v/>
      </c>
      <c r="AM25" s="9">
        <f>IF(V25&gt;=F25/(1-Inputs!$B$13),MAX(F25,L25*(1-Inputs!$B$13)),"not green yet")</f>
        <v/>
      </c>
      <c r="AN25" s="15">
        <f>IF(AND(N(Q25)&gt;0,V25&gt;AK25,AG25&gt;V25),(AG25-V25)/(V25-AK25),"")</f>
        <v/>
      </c>
      <c r="AO25" s="16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17" t="inlineStr">
        <is>
          <t>Fractional leftover (&lt;$1).</t>
        </is>
      </c>
    </row>
    <row r="27">
      <c r="A27" s="18" t="inlineStr">
        <is>
          <t>TOTAL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9">
        <f>SUM(W6:W25)</f>
        <v/>
      </c>
      <c r="X27" s="19">
        <f>SUM(X6:X25)</f>
        <v/>
      </c>
      <c r="Y27" s="20">
        <f>SUM(Y6:Y25)</f>
        <v/>
      </c>
      <c r="Z27" s="21">
        <f>Y27/X27</f>
        <v/>
      </c>
      <c r="AA27" s="22">
        <f>SUM(AA6:AA25)</f>
        <v/>
      </c>
      <c r="AB27" s="18" t="n"/>
      <c r="AC27" s="18" t="n"/>
      <c r="AD27" s="18" t="n"/>
      <c r="AE27" s="18" t="n"/>
      <c r="AF27" s="22">
        <f>SUMPRODUCT(--(Q6:Q25&gt;0),E6:E25,Q6:Q25)/SUMPRODUCT(--(Q6:Q25&gt;0),W6:W25)-1</f>
        <v/>
      </c>
      <c r="AG27" s="18" t="n"/>
      <c r="AH27" s="18" t="n"/>
      <c r="AI27" s="18" t="n"/>
      <c r="AJ27" s="19">
        <f>SUM(AJ6:AJ25)</f>
        <v/>
      </c>
      <c r="AK27" s="18" t="n"/>
      <c r="AL27" s="18" t="n"/>
      <c r="AM27" s="18" t="n"/>
      <c r="AN27" s="18" t="n"/>
      <c r="AO27" s="18">
        <f>COUNTIF(AO6:AO25,"REVIEW*")&amp;" review, "&amp;COUNTIF(AO6:AO25,"OVERWEIGHT*")&amp;" overweight, "&amp;COUNTIF(AO6:AO25,"TRIM*")&amp;" trim"</f>
        <v/>
      </c>
      <c r="AP27" s="18" t="n"/>
    </row>
  </sheetData>
  <autoFilter ref="A5:AP25"/>
  <conditionalFormatting sqref="AO6:AO25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0">
      <formula>-0.05</formula>
    </cfRule>
  </conditionalFormatting>
  <conditionalFormatting sqref="AL6:AL25">
    <cfRule type="cellIs" priority="5" operator="between" dxfId="1">
      <formula>0</formula>
      <formula>0.05</formula>
    </cfRule>
  </conditionalFormatting>
  <conditionalFormatting sqref="R6:R25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0" customWidth="1" min="30" max="30"/>
  </cols>
  <sheetData>
    <row r="1">
      <c r="A1" s="1" t="inlineStr">
        <is>
          <t>Joint Watchlist - Quality @ 200-day Buy Zone, Re-buy Watch, New Industries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3" t="inlineStr">
        <is>
          <t>Symbol</t>
        </is>
      </c>
      <c r="B4" s="3" t="inlineStr">
        <is>
          <t>Company</t>
        </is>
      </c>
      <c r="C4" s="3" t="inlineStr">
        <is>
          <t>List</t>
        </is>
      </c>
      <c r="D4" s="3" t="inlineStr">
        <is>
          <t>Held?</t>
        </is>
      </c>
      <c r="E4" s="3" t="inlineStr">
        <is>
          <t>Quality Grade</t>
        </is>
      </c>
      <c r="F4" s="3" t="inlineStr">
        <is>
          <t>Quality Rank</t>
        </is>
      </c>
      <c r="G4" s="3" t="inlineStr">
        <is>
          <t>Chart Setup</t>
        </is>
      </c>
      <c r="H4" s="3" t="inlineStr">
        <is>
          <t>Valuation</t>
        </is>
      </c>
      <c r="I4" s="3" t="inlineStr">
        <is>
          <t>Disruption</t>
        </is>
      </c>
      <c r="J4" s="3" t="inlineStr">
        <is>
          <t>Price</t>
        </is>
      </c>
      <c r="K4" s="3" t="inlineStr">
        <is>
          <t>50-day SMA</t>
        </is>
      </c>
      <c r="L4" s="3" t="inlineStr">
        <is>
          <t>200-day SMA</t>
        </is>
      </c>
      <c r="M4" s="3" t="inlineStr">
        <is>
          <t>Analyst Mean Target</t>
        </is>
      </c>
      <c r="N4" s="3" t="inlineStr">
        <is>
          <t># Buy</t>
        </is>
      </c>
      <c r="O4" s="3" t="inlineStr">
        <is>
          <t># Hold</t>
        </is>
      </c>
      <c r="P4" s="3" t="inlineStr">
        <is>
          <t># Sell</t>
        </is>
      </c>
      <c r="Q4" s="3" t="inlineStr">
        <is>
          <t>Next Earnings</t>
        </is>
      </c>
      <c r="R4" s="3" t="inlineStr">
        <is>
          <t>Wash-Sale Clear</t>
        </is>
      </c>
      <c r="S4" s="4" t="inlineStr">
        <is>
          <t>vs 200-day</t>
        </is>
      </c>
      <c r="T4" s="4" t="inlineStr">
        <is>
          <t>vs 50-day</t>
        </is>
      </c>
      <c r="U4" s="4" t="inlineStr">
        <is>
          <t>Buy Zone Low</t>
        </is>
      </c>
      <c r="V4" s="4" t="inlineStr">
        <is>
          <t>Buy Zone High</t>
        </is>
      </c>
      <c r="W4" s="4" t="inlineStr">
        <is>
          <t>BUY TARGET</t>
        </is>
      </c>
      <c r="X4" s="4" t="inlineStr">
        <is>
          <t>Distance to Buy Target</t>
        </is>
      </c>
      <c r="Y4" s="4" t="inlineStr">
        <is>
          <t>Upside: Buy Tgt to Analyst</t>
        </is>
      </c>
      <c r="Z4" s="4" t="inlineStr">
        <is>
          <t>WATCH REVIEW LEVEL</t>
        </is>
      </c>
      <c r="AA4" s="4" t="inlineStr">
        <is>
          <t>Reward : Risk at Buy Tgt</t>
        </is>
      </c>
      <c r="AB4" s="4" t="inlineStr">
        <is>
          <t>% Buy Ratings</t>
        </is>
      </c>
      <c r="AC4" s="4" t="inlineStr">
        <is>
          <t>STATUS</t>
        </is>
      </c>
      <c r="AD4" s="3" t="inlineStr">
        <is>
          <t>Notes</t>
        </is>
      </c>
    </row>
    <row r="5">
      <c r="A5" s="5" t="inlineStr">
        <is>
          <t>AEM</t>
        </is>
      </c>
      <c r="B5" s="5" t="inlineStr">
        <is>
          <t>Agnico Eagle Mines</t>
        </is>
      </c>
      <c r="C5" s="5" t="inlineStr">
        <is>
          <t>Buy Zone</t>
        </is>
      </c>
      <c r="D5" s="5" t="inlineStr"/>
      <c r="E5" s="5" t="inlineStr">
        <is>
          <t>A+</t>
        </is>
      </c>
      <c r="F5" s="23" t="n">
        <v>3</v>
      </c>
      <c r="G5" s="5" t="inlineStr">
        <is>
          <t>57 PULLING BACK</t>
        </is>
      </c>
      <c r="H5" s="5" t="inlineStr">
        <is>
          <t>RICH -23% (low)</t>
        </is>
      </c>
      <c r="I5" s="5" t="inlineStr">
        <is>
          <t>STABLE</t>
        </is>
      </c>
      <c r="J5" s="7" t="n">
        <v>175.92</v>
      </c>
      <c r="K5" s="7" t="n">
        <v>193.8</v>
      </c>
      <c r="L5" s="7" t="n">
        <v>189.53</v>
      </c>
      <c r="M5" s="7" t="n">
        <v>225.4</v>
      </c>
      <c r="N5" s="23" t="n">
        <v>19</v>
      </c>
      <c r="O5" s="23" t="n">
        <v>4</v>
      </c>
      <c r="P5" s="23" t="n">
        <v>1</v>
      </c>
      <c r="Q5" s="8" t="inlineStr">
        <is>
          <t>n/a</t>
        </is>
      </c>
      <c r="R5" s="5" t="n"/>
      <c r="S5" s="12">
        <f>J5/L5-1</f>
        <v/>
      </c>
      <c r="T5" s="12">
        <f>J5/K5-1</f>
        <v/>
      </c>
      <c r="U5" s="9">
        <f>L5*(1+Inputs!$B$17)</f>
        <v/>
      </c>
      <c r="V5" s="9">
        <f>L5*(1+Inputs!$B$18)</f>
        <v/>
      </c>
      <c r="W5" s="9">
        <f>L5*(1+Inputs!$B$19)</f>
        <v/>
      </c>
      <c r="X5" s="12">
        <f>J5/W5-1</f>
        <v/>
      </c>
      <c r="Y5" s="12">
        <f>IF(N(M5)&gt;0,M5/W5-1,"")</f>
        <v/>
      </c>
      <c r="Z5" s="9">
        <f>U5</f>
        <v/>
      </c>
      <c r="AA5" s="15">
        <f>IFERROR(IF(N(M5)&gt;W5,(M5-W5)/(W5-Z5),""),"")</f>
        <v/>
      </c>
      <c r="AB5" s="24">
        <f>IFERROR(N5/(N5+O5+P5),"")</f>
        <v/>
      </c>
      <c r="AC5" s="16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17" t="inlineStr">
        <is>
          <t>Falling wedge forming; tracks gold.</t>
        </is>
      </c>
    </row>
    <row r="6">
      <c r="A6" s="5" t="inlineStr">
        <is>
          <t>STX</t>
        </is>
      </c>
      <c r="B6" s="5" t="inlineStr">
        <is>
          <t>Seagate</t>
        </is>
      </c>
      <c r="C6" s="5" t="inlineStr">
        <is>
          <t>Buy Zone</t>
        </is>
      </c>
      <c r="D6" s="5" t="inlineStr"/>
      <c r="E6" s="5" t="inlineStr">
        <is>
          <t>A+</t>
        </is>
      </c>
      <c r="F6" s="23" t="n">
        <v>4</v>
      </c>
      <c r="G6" s="5" t="inlineStr">
        <is>
          <t>57 PULLING BACK</t>
        </is>
      </c>
      <c r="H6" s="5" t="inlineStr">
        <is>
          <t>EXPENSIVE -50% (low)</t>
        </is>
      </c>
      <c r="I6" s="5" t="inlineStr">
        <is>
          <t>INNOVATING</t>
        </is>
      </c>
      <c r="J6" s="7" t="n">
        <v>700.47</v>
      </c>
      <c r="K6" s="7" t="n">
        <v>803.15</v>
      </c>
      <c r="L6" s="7" t="n">
        <v>690.92</v>
      </c>
      <c r="M6" s="7" t="n">
        <v>1062.55</v>
      </c>
      <c r="N6" s="23" t="n">
        <v>25</v>
      </c>
      <c r="O6" s="23" t="n">
        <v>5</v>
      </c>
      <c r="P6" s="23" t="n">
        <v>0</v>
      </c>
      <c r="Q6" s="8" t="inlineStr">
        <is>
          <t>n/a</t>
        </is>
      </c>
      <c r="R6" s="5" t="n"/>
      <c r="S6" s="12">
        <f>J6/L6-1</f>
        <v/>
      </c>
      <c r="T6" s="12">
        <f>J6/K6-1</f>
        <v/>
      </c>
      <c r="U6" s="9">
        <f>L6*(1+Inputs!$B$17)</f>
        <v/>
      </c>
      <c r="V6" s="9">
        <f>L6*(1+Inputs!$B$18)</f>
        <v/>
      </c>
      <c r="W6" s="9">
        <f>L6*(1+Inputs!$B$19)</f>
        <v/>
      </c>
      <c r="X6" s="12">
        <f>J6/W6-1</f>
        <v/>
      </c>
      <c r="Y6" s="12">
        <f>IF(N(M6)&gt;0,M6/W6-1,"")</f>
        <v/>
      </c>
      <c r="Z6" s="9">
        <f>U6</f>
        <v/>
      </c>
      <c r="AA6" s="15">
        <f>IFERROR(IF(N(M6)&gt;W6,(M6-W6)/(W6-Z6),""),"")</f>
        <v/>
      </c>
      <c r="AB6" s="24">
        <f>IFERROR(N6/(N6+O6+P6),"")</f>
        <v/>
      </c>
      <c r="AC6" s="16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17" t="inlineStr">
        <is>
          <t>Falling wedge forming; -4.1% after hours.</t>
        </is>
      </c>
    </row>
    <row r="7">
      <c r="A7" s="5" t="inlineStr">
        <is>
          <t>AVGO</t>
        </is>
      </c>
      <c r="B7" s="5" t="inlineStr">
        <is>
          <t>Broadcom</t>
        </is>
      </c>
      <c r="C7" s="5" t="inlineStr">
        <is>
          <t>Buy Zone</t>
        </is>
      </c>
      <c r="D7" s="5" t="inlineStr"/>
      <c r="E7" s="5" t="inlineStr">
        <is>
          <t>A+</t>
        </is>
      </c>
      <c r="F7" s="23" t="n">
        <v>7</v>
      </c>
      <c r="G7" s="5" t="inlineStr">
        <is>
          <t>57 PULLING BACK</t>
        </is>
      </c>
      <c r="H7" s="5" t="inlineStr">
        <is>
          <t>EXPENSIVE -50% (med)</t>
        </is>
      </c>
      <c r="I7" s="5" t="inlineStr">
        <is>
          <t>DISRUPTOR</t>
        </is>
      </c>
      <c r="J7" s="7" t="n">
        <v>345</v>
      </c>
      <c r="K7" s="7" t="n">
        <v>353.7</v>
      </c>
      <c r="L7" s="7" t="n">
        <v>367.78</v>
      </c>
      <c r="M7" s="7" t="n">
        <v>532.3099999999999</v>
      </c>
      <c r="N7" s="23" t="n">
        <v>53</v>
      </c>
      <c r="O7" s="23" t="n">
        <v>2</v>
      </c>
      <c r="P7" s="23" t="n">
        <v>0</v>
      </c>
      <c r="Q7" s="8" t="n">
        <v>46365</v>
      </c>
      <c r="R7" s="8" t="n">
        <v>46348</v>
      </c>
      <c r="S7" s="12">
        <f>J7/L7-1</f>
        <v/>
      </c>
      <c r="T7" s="12">
        <f>J7/K7-1</f>
        <v/>
      </c>
      <c r="U7" s="9">
        <f>L7*(1+Inputs!$B$17)</f>
        <v/>
      </c>
      <c r="V7" s="9">
        <f>L7*(1+Inputs!$B$18)</f>
        <v/>
      </c>
      <c r="W7" s="9">
        <f>L7*(1+Inputs!$B$19)</f>
        <v/>
      </c>
      <c r="X7" s="12">
        <f>J7/W7-1</f>
        <v/>
      </c>
      <c r="Y7" s="12">
        <f>IF(N(M7)&gt;0,M7/W7-1,"")</f>
        <v/>
      </c>
      <c r="Z7" s="9">
        <f>U7</f>
        <v/>
      </c>
      <c r="AA7" s="15">
        <f>IFERROR(IF(N(M7)&gt;W7,(M7-W7)/(W7-Z7),""),"")</f>
        <v/>
      </c>
      <c r="AB7" s="24">
        <f>IFERROR(N7/(N7+O7+P7),"")</f>
        <v/>
      </c>
      <c r="AC7" s="16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17" t="inlineStr">
        <is>
          <t>Falling wedge forming; thesis intact 9/30. -3.7% after hours.</t>
        </is>
      </c>
    </row>
    <row r="8">
      <c r="A8" s="5" t="inlineStr">
        <is>
          <t>NVDA</t>
        </is>
      </c>
      <c r="B8" s="5" t="inlineStr">
        <is>
          <t>NVIDIA</t>
        </is>
      </c>
      <c r="C8" s="5" t="inlineStr">
        <is>
          <t>Buy Zone</t>
        </is>
      </c>
      <c r="D8" s="5" t="inlineStr"/>
      <c r="E8" s="5" t="inlineStr">
        <is>
          <t>A+</t>
        </is>
      </c>
      <c r="F8" s="23" t="n">
        <v>1</v>
      </c>
      <c r="G8" s="5" t="inlineStr">
        <is>
          <t>43 PULLING BACK</t>
        </is>
      </c>
      <c r="H8" s="5" t="inlineStr">
        <is>
          <t>FAIR +5% (med)</t>
        </is>
      </c>
      <c r="I8" s="5" t="inlineStr">
        <is>
          <t>DISRUPTOR</t>
        </is>
      </c>
      <c r="J8" s="7" t="n">
        <v>213.66</v>
      </c>
      <c r="K8" s="7" t="n">
        <v>221.99</v>
      </c>
      <c r="L8" s="7" t="n">
        <v>204.28</v>
      </c>
      <c r="M8" s="7" t="n">
        <v>334.45</v>
      </c>
      <c r="N8" s="23" t="n">
        <v>69</v>
      </c>
      <c r="O8" s="23" t="n">
        <v>2</v>
      </c>
      <c r="P8" s="23" t="n">
        <v>1</v>
      </c>
      <c r="Q8" s="8" t="n">
        <v>46343</v>
      </c>
      <c r="R8" s="5" t="n"/>
      <c r="S8" s="12">
        <f>J8/L8-1</f>
        <v/>
      </c>
      <c r="T8" s="12">
        <f>J8/K8-1</f>
        <v/>
      </c>
      <c r="U8" s="9">
        <f>L8*(1+Inputs!$B$17)</f>
        <v/>
      </c>
      <c r="V8" s="9">
        <f>L8*(1+Inputs!$B$18)</f>
        <v/>
      </c>
      <c r="W8" s="9">
        <f>L8*(1+Inputs!$B$19)</f>
        <v/>
      </c>
      <c r="X8" s="12">
        <f>J8/W8-1</f>
        <v/>
      </c>
      <c r="Y8" s="12">
        <f>IF(N(M8)&gt;0,M8/W8-1,"")</f>
        <v/>
      </c>
      <c r="Z8" s="9">
        <f>U8</f>
        <v/>
      </c>
      <c r="AA8" s="15">
        <f>IFERROR(IF(N(M8)&gt;W8,(M8-W8)/(W8-Z8),""),"")</f>
        <v/>
      </c>
      <c r="AB8" s="24">
        <f>IFERROR(N8/(N8+O8+P8),"")</f>
        <v/>
      </c>
      <c r="AC8" s="16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17" t="inlineStr">
        <is>
          <t>#1 on business quality.</t>
        </is>
      </c>
    </row>
    <row r="9">
      <c r="A9" s="5" t="inlineStr">
        <is>
          <t>WES</t>
        </is>
      </c>
      <c r="B9" s="5" t="inlineStr">
        <is>
          <t>Western Midstream</t>
        </is>
      </c>
      <c r="C9" s="5" t="inlineStr">
        <is>
          <t>Buy Zone</t>
        </is>
      </c>
      <c r="D9" s="5" t="inlineStr"/>
      <c r="E9" s="5" t="inlineStr">
        <is>
          <t>A+</t>
        </is>
      </c>
      <c r="F9" s="23" t="n">
        <v>6</v>
      </c>
      <c r="G9" s="5" t="inlineStr">
        <is>
          <t>43 PULLING BACK</t>
        </is>
      </c>
      <c r="H9" s="5" t="inlineStr">
        <is>
          <t>RICH -19% (high)</t>
        </is>
      </c>
      <c r="I9" s="5" t="inlineStr">
        <is>
          <t>STABLE</t>
        </is>
      </c>
      <c r="J9" s="7" t="n">
        <v>45.82</v>
      </c>
      <c r="K9" s="7" t="n">
        <v>46.5</v>
      </c>
      <c r="L9" s="7" t="n">
        <v>44.12</v>
      </c>
      <c r="M9" s="7" t="n">
        <v>49.54</v>
      </c>
      <c r="N9" s="23" t="n">
        <v>5</v>
      </c>
      <c r="O9" s="23" t="n">
        <v>10</v>
      </c>
      <c r="P9" s="23" t="n">
        <v>2</v>
      </c>
      <c r="Q9" s="8" t="n">
        <v>46330</v>
      </c>
      <c r="R9" s="5" t="n"/>
      <c r="S9" s="12">
        <f>J9/L9-1</f>
        <v/>
      </c>
      <c r="T9" s="12">
        <f>J9/K9-1</f>
        <v/>
      </c>
      <c r="U9" s="9">
        <f>L9*(1+Inputs!$B$17)</f>
        <v/>
      </c>
      <c r="V9" s="9">
        <f>L9*(1+Inputs!$B$18)</f>
        <v/>
      </c>
      <c r="W9" s="9">
        <f>L9*(1+Inputs!$B$19)</f>
        <v/>
      </c>
      <c r="X9" s="12">
        <f>J9/W9-1</f>
        <v/>
      </c>
      <c r="Y9" s="12">
        <f>IF(N(M9)&gt;0,M9/W9-1,"")</f>
        <v/>
      </c>
      <c r="Z9" s="9">
        <f>U9</f>
        <v/>
      </c>
      <c r="AA9" s="15">
        <f>IFERROR(IF(N(M9)&gt;W9,(M9-W9)/(W9-Z9),""),"")</f>
        <v/>
      </c>
      <c r="AB9" s="24">
        <f>IFERROR(N9/(N9+O9+P9),"")</f>
        <v/>
      </c>
      <c r="AC9" s="16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17" t="inlineStr">
        <is>
          <t>Double bottom near trigger 46.42. Analysts mostly Hold.</t>
        </is>
      </c>
    </row>
    <row r="10">
      <c r="A10" s="5" t="inlineStr">
        <is>
          <t>SCCO</t>
        </is>
      </c>
      <c r="B10" s="5" t="inlineStr">
        <is>
          <t>Southern Copper</t>
        </is>
      </c>
      <c r="C10" s="5" t="inlineStr">
        <is>
          <t>Buy Zone</t>
        </is>
      </c>
      <c r="D10" s="5" t="inlineStr"/>
      <c r="E10" s="5" t="inlineStr">
        <is>
          <t>A+</t>
        </is>
      </c>
      <c r="F10" s="23" t="n">
        <v>8</v>
      </c>
      <c r="G10" s="5" t="inlineStr">
        <is>
          <t>43 PULLING BACK</t>
        </is>
      </c>
      <c r="H10" s="5" t="inlineStr">
        <is>
          <t>EXPENSIVE -40% (high)</t>
        </is>
      </c>
      <c r="I10" s="5" t="inlineStr">
        <is>
          <t>STABLE</t>
        </is>
      </c>
      <c r="J10" s="7" t="n">
        <v>191.75</v>
      </c>
      <c r="K10" s="7" t="n">
        <v>201.33</v>
      </c>
      <c r="L10" s="7" t="n">
        <v>189.09</v>
      </c>
      <c r="M10" s="7" t="n">
        <v>176.66</v>
      </c>
      <c r="N10" s="23" t="n">
        <v>1</v>
      </c>
      <c r="O10" s="23" t="n">
        <v>8</v>
      </c>
      <c r="P10" s="23" t="n">
        <v>10</v>
      </c>
      <c r="Q10" s="8" t="inlineStr">
        <is>
          <t>n/a</t>
        </is>
      </c>
      <c r="R10" s="5" t="n"/>
      <c r="S10" s="12">
        <f>J10/L10-1</f>
        <v/>
      </c>
      <c r="T10" s="12">
        <f>J10/K10-1</f>
        <v/>
      </c>
      <c r="U10" s="9">
        <f>L10*(1+Inputs!$B$17)</f>
        <v/>
      </c>
      <c r="V10" s="9">
        <f>L10*(1+Inputs!$B$18)</f>
        <v/>
      </c>
      <c r="W10" s="9">
        <f>L10*(1+Inputs!$B$19)</f>
        <v/>
      </c>
      <c r="X10" s="12">
        <f>J10/W10-1</f>
        <v/>
      </c>
      <c r="Y10" s="12">
        <f>IF(N(M10)&gt;0,M10/W10-1,"")</f>
        <v/>
      </c>
      <c r="Z10" s="9">
        <f>U10</f>
        <v/>
      </c>
      <c r="AA10" s="15">
        <f>IFERROR(IF(N(M10)&gt;W10,(M10-W10)/(W10-Z10),""),"")</f>
        <v/>
      </c>
      <c r="AB10" s="24">
        <f>IFERROR(N10/(N10+O10+P10),"")</f>
        <v/>
      </c>
      <c r="AC10" s="16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17" t="inlineStr">
        <is>
          <t>Analyst mean target is BELOW price; 10 Sells.</t>
        </is>
      </c>
    </row>
    <row r="11">
      <c r="A11" s="5" t="inlineStr">
        <is>
          <t>ASML</t>
        </is>
      </c>
      <c r="B11" s="5" t="inlineStr">
        <is>
          <t>ASML Holding</t>
        </is>
      </c>
      <c r="C11" s="5" t="inlineStr">
        <is>
          <t>Buy Zone</t>
        </is>
      </c>
      <c r="D11" s="5" t="inlineStr"/>
      <c r="E11" s="5" t="inlineStr">
        <is>
          <t>A+</t>
        </is>
      </c>
      <c r="F11" s="23" t="n">
        <v>9</v>
      </c>
      <c r="G11" s="5" t="inlineStr">
        <is>
          <t>43 PULLING BACK</t>
        </is>
      </c>
      <c r="H11" s="5" t="inlineStr">
        <is>
          <t>EXPENSIVE -36% (med)</t>
        </is>
      </c>
      <c r="I11" s="5" t="inlineStr">
        <is>
          <t>INNOVATING</t>
        </is>
      </c>
      <c r="J11" s="7" t="n">
        <v>1675.7</v>
      </c>
      <c r="K11" s="7" t="n">
        <v>1708.14</v>
      </c>
      <c r="L11" s="7" t="n">
        <v>1595.65</v>
      </c>
      <c r="M11" s="7" t="n">
        <v>2408.5</v>
      </c>
      <c r="N11" s="23" t="n">
        <v>37</v>
      </c>
      <c r="O11" s="23" t="n">
        <v>4</v>
      </c>
      <c r="P11" s="23" t="n">
        <v>2</v>
      </c>
      <c r="Q11" s="8" t="n">
        <v>46414</v>
      </c>
      <c r="R11" s="5" t="n"/>
      <c r="S11" s="12">
        <f>J11/L11-1</f>
        <v/>
      </c>
      <c r="T11" s="12">
        <f>J11/K11-1</f>
        <v/>
      </c>
      <c r="U11" s="9">
        <f>L11*(1+Inputs!$B$17)</f>
        <v/>
      </c>
      <c r="V11" s="9">
        <f>L11*(1+Inputs!$B$18)</f>
        <v/>
      </c>
      <c r="W11" s="9">
        <f>L11*(1+Inputs!$B$19)</f>
        <v/>
      </c>
      <c r="X11" s="12">
        <f>J11/W11-1</f>
        <v/>
      </c>
      <c r="Y11" s="12">
        <f>IF(N(M11)&gt;0,M11/W11-1,"")</f>
        <v/>
      </c>
      <c r="Z11" s="9">
        <f>U11</f>
        <v/>
      </c>
      <c r="AA11" s="15">
        <f>IFERROR(IF(N(M11)&gt;W11,(M11-W11)/(W11-Z11),""),"")</f>
        <v/>
      </c>
      <c r="AB11" s="24">
        <f>IFERROR(N11/(N11+O11+P11),"")</f>
        <v/>
      </c>
      <c r="AC11" s="16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17" t="inlineStr">
        <is>
          <t>Double bottom forming; -3.6% after hours.</t>
        </is>
      </c>
    </row>
    <row r="12">
      <c r="A12" s="5" t="inlineStr">
        <is>
          <t>FNV</t>
        </is>
      </c>
      <c r="B12" s="5" t="inlineStr">
        <is>
          <t>Franco-Nevada</t>
        </is>
      </c>
      <c r="C12" s="5" t="inlineStr">
        <is>
          <t>Buy Zone</t>
        </is>
      </c>
      <c r="D12" s="5" t="inlineStr"/>
      <c r="E12" s="5" t="inlineStr">
        <is>
          <t>A</t>
        </is>
      </c>
      <c r="F12" s="23" t="n">
        <v>11</v>
      </c>
      <c r="G12" s="5" t="inlineStr">
        <is>
          <t>43 PULLING BACK</t>
        </is>
      </c>
      <c r="H12" s="5" t="inlineStr">
        <is>
          <t>FAIR -3% (med)</t>
        </is>
      </c>
      <c r="I12" s="5" t="inlineStr">
        <is>
          <t>STABLE</t>
        </is>
      </c>
      <c r="J12" s="7" t="n">
        <v>231.6</v>
      </c>
      <c r="K12" s="7" t="n">
        <v>252.44</v>
      </c>
      <c r="L12" s="7" t="n">
        <v>240.07</v>
      </c>
      <c r="M12" s="7" t="n">
        <v>287.68</v>
      </c>
      <c r="N12" s="23" t="n">
        <v>7</v>
      </c>
      <c r="O12" s="23" t="n">
        <v>3</v>
      </c>
      <c r="P12" s="23" t="n">
        <v>1</v>
      </c>
      <c r="Q12" s="8" t="n">
        <v>46337</v>
      </c>
      <c r="R12" s="5" t="n"/>
      <c r="S12" s="12">
        <f>J12/L12-1</f>
        <v/>
      </c>
      <c r="T12" s="12">
        <f>J12/K12-1</f>
        <v/>
      </c>
      <c r="U12" s="9">
        <f>L12*(1+Inputs!$B$17)</f>
        <v/>
      </c>
      <c r="V12" s="9">
        <f>L12*(1+Inputs!$B$18)</f>
        <v/>
      </c>
      <c r="W12" s="9">
        <f>L12*(1+Inputs!$B$19)</f>
        <v/>
      </c>
      <c r="X12" s="12">
        <f>J12/W12-1</f>
        <v/>
      </c>
      <c r="Y12" s="12">
        <f>IF(N(M12)&gt;0,M12/W12-1,"")</f>
        <v/>
      </c>
      <c r="Z12" s="9">
        <f>U12</f>
        <v/>
      </c>
      <c r="AA12" s="15">
        <f>IFERROR(IF(N(M12)&gt;W12,(M12-W12)/(W12-Z12),""),"")</f>
        <v/>
      </c>
      <c r="AB12" s="24">
        <f>IFERROR(N12/(N12+O12+P12),"")</f>
        <v/>
      </c>
      <c r="AC12" s="16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17" t="inlineStr">
        <is>
          <t>Gold royalty.</t>
        </is>
      </c>
    </row>
    <row r="13">
      <c r="A13" s="5" t="inlineStr">
        <is>
          <t>HOOD</t>
        </is>
      </c>
      <c r="B13" s="5" t="inlineStr">
        <is>
          <t>Robinhood Markets</t>
        </is>
      </c>
      <c r="C13" s="5" t="inlineStr">
        <is>
          <t>Buy Zone</t>
        </is>
      </c>
      <c r="D13" s="5" t="inlineStr">
        <is>
          <t>HELD</t>
        </is>
      </c>
      <c r="E13" s="5" t="inlineStr">
        <is>
          <t>A</t>
        </is>
      </c>
      <c r="F13" s="23" t="n">
        <v>14</v>
      </c>
      <c r="G13" s="5" t="inlineStr">
        <is>
          <t>43 PULLING BACK</t>
        </is>
      </c>
      <c r="H13" s="5" t="inlineStr">
        <is>
          <t>n/a</t>
        </is>
      </c>
      <c r="I13" s="5" t="inlineStr">
        <is>
          <t>DISRUPTOR</t>
        </is>
      </c>
      <c r="J13" s="7" t="n">
        <v>91.59</v>
      </c>
      <c r="K13" s="7" t="n">
        <v>108.69</v>
      </c>
      <c r="L13" s="7" t="n">
        <v>92.76000000000001</v>
      </c>
      <c r="M13" s="7" t="n">
        <v>133.63</v>
      </c>
      <c r="N13" s="23" t="n">
        <v>30</v>
      </c>
      <c r="O13" s="23" t="n">
        <v>5</v>
      </c>
      <c r="P13" s="23" t="n">
        <v>2</v>
      </c>
      <c r="Q13" s="8" t="inlineStr">
        <is>
          <t>n/a</t>
        </is>
      </c>
      <c r="R13" s="8" t="n">
        <v>46354</v>
      </c>
      <c r="S13" s="12">
        <f>J13/L13-1</f>
        <v/>
      </c>
      <c r="T13" s="12">
        <f>J13/K13-1</f>
        <v/>
      </c>
      <c r="U13" s="9">
        <f>L13*(1+Inputs!$B$17)</f>
        <v/>
      </c>
      <c r="V13" s="9">
        <f>L13*(1+Inputs!$B$18)</f>
        <v/>
      </c>
      <c r="W13" s="9">
        <f>L13*(1+Inputs!$B$19)</f>
        <v/>
      </c>
      <c r="X13" s="12">
        <f>J13/W13-1</f>
        <v/>
      </c>
      <c r="Y13" s="12">
        <f>IF(N(M13)&gt;0,M13/W13-1,"")</f>
        <v/>
      </c>
      <c r="Z13" s="9">
        <f>U13</f>
        <v/>
      </c>
      <c r="AA13" s="15">
        <f>IFERROR(IF(N(M13)&gt;W13,(M13-W13)/(W13-Z13),""),"")</f>
        <v/>
      </c>
      <c r="AB13" s="24">
        <f>IFERROR(N13/(N13+O13+P13),"")</f>
        <v/>
      </c>
      <c r="AC13" s="16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17" t="inlineStr">
        <is>
          <t>Fractional leftover (&lt;$1).</t>
        </is>
      </c>
    </row>
    <row r="14">
      <c r="A14" s="5" t="inlineStr">
        <is>
          <t>NBIX</t>
        </is>
      </c>
      <c r="B14" s="5" t="inlineStr">
        <is>
          <t>Neurocrine Biosciences</t>
        </is>
      </c>
      <c r="C14" s="5" t="inlineStr">
        <is>
          <t>Buy Zone</t>
        </is>
      </c>
      <c r="D14" s="5" t="inlineStr"/>
      <c r="E14" s="5" t="inlineStr">
        <is>
          <t>A</t>
        </is>
      </c>
      <c r="F14" s="23" t="n">
        <v>18</v>
      </c>
      <c r="G14" s="5" t="inlineStr">
        <is>
          <t>43 PULLING BACK</t>
        </is>
      </c>
      <c r="H14" s="5" t="inlineStr">
        <is>
          <t>DEEP VALUE +100% (low)</t>
        </is>
      </c>
      <c r="I14" s="5" t="inlineStr">
        <is>
          <t>DISRUPTOR</t>
        </is>
      </c>
      <c r="J14" s="7" t="n">
        <v>146.38</v>
      </c>
      <c r="K14" s="7" t="n">
        <v>146.75</v>
      </c>
      <c r="L14" s="7" t="n">
        <v>147.32</v>
      </c>
      <c r="M14" s="7" t="n">
        <v>207.37</v>
      </c>
      <c r="N14" s="23" t="n">
        <v>27</v>
      </c>
      <c r="O14" s="23" t="n">
        <v>4</v>
      </c>
      <c r="P14" s="23" t="n">
        <v>0</v>
      </c>
      <c r="Q14" s="8" t="n">
        <v>46328</v>
      </c>
      <c r="R14" s="5" t="n"/>
      <c r="S14" s="12">
        <f>J14/L14-1</f>
        <v/>
      </c>
      <c r="T14" s="12">
        <f>J14/K14-1</f>
        <v/>
      </c>
      <c r="U14" s="9">
        <f>L14*(1+Inputs!$B$17)</f>
        <v/>
      </c>
      <c r="V14" s="9">
        <f>L14*(1+Inputs!$B$18)</f>
        <v/>
      </c>
      <c r="W14" s="9">
        <f>L14*(1+Inputs!$B$19)</f>
        <v/>
      </c>
      <c r="X14" s="12">
        <f>J14/W14-1</f>
        <v/>
      </c>
      <c r="Y14" s="12">
        <f>IF(N(M14)&gt;0,M14/W14-1,"")</f>
        <v/>
      </c>
      <c r="Z14" s="9">
        <f>U14</f>
        <v/>
      </c>
      <c r="AA14" s="15">
        <f>IFERROR(IF(N(M14)&gt;W14,(M14-W14)/(W14-Z14),""),"")</f>
        <v/>
      </c>
      <c r="AB14" s="24">
        <f>IFERROR(N14/(N14+O14+P14),"")</f>
        <v/>
      </c>
      <c r="AC14" s="16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17" t="inlineStr">
        <is>
          <t>Reports 11/2.</t>
        </is>
      </c>
    </row>
    <row r="15">
      <c r="A15" s="5" t="inlineStr">
        <is>
          <t>ADBE</t>
        </is>
      </c>
      <c r="B15" s="5" t="inlineStr">
        <is>
          <t>Adobe</t>
        </is>
      </c>
      <c r="C15" s="5" t="inlineStr">
        <is>
          <t>Buy Zone</t>
        </is>
      </c>
      <c r="D15" s="5" t="inlineStr"/>
      <c r="E15" s="5" t="inlineStr">
        <is>
          <t>A</t>
        </is>
      </c>
      <c r="F15" s="23" t="n">
        <v>22</v>
      </c>
      <c r="G15" s="5" t="inlineStr">
        <is>
          <t>43 PULLING BACK</t>
        </is>
      </c>
      <c r="H15" s="5" t="inlineStr">
        <is>
          <t>DEEP VALUE +100% (low)</t>
        </is>
      </c>
      <c r="I15" s="5" t="inlineStr">
        <is>
          <t>AT RISK</t>
        </is>
      </c>
      <c r="J15" s="7" t="n">
        <v>248.12</v>
      </c>
      <c r="K15" s="7" t="n">
        <v>254.84</v>
      </c>
      <c r="L15" s="7" t="n">
        <v>250.71</v>
      </c>
      <c r="M15" s="7" t="n">
        <v>269.5</v>
      </c>
      <c r="N15" s="23" t="n">
        <v>11</v>
      </c>
      <c r="O15" s="23" t="n">
        <v>25</v>
      </c>
      <c r="P15" s="23" t="n">
        <v>5</v>
      </c>
      <c r="Q15" s="8" t="inlineStr">
        <is>
          <t>n/a</t>
        </is>
      </c>
      <c r="R15" s="5" t="n"/>
      <c r="S15" s="12">
        <f>J15/L15-1</f>
        <v/>
      </c>
      <c r="T15" s="12">
        <f>J15/K15-1</f>
        <v/>
      </c>
      <c r="U15" s="9">
        <f>L15*(1+Inputs!$B$17)</f>
        <v/>
      </c>
      <c r="V15" s="9">
        <f>L15*(1+Inputs!$B$18)</f>
        <v/>
      </c>
      <c r="W15" s="9">
        <f>L15*(1+Inputs!$B$19)</f>
        <v/>
      </c>
      <c r="X15" s="12">
        <f>J15/W15-1</f>
        <v/>
      </c>
      <c r="Y15" s="12">
        <f>IF(N(M15)&gt;0,M15/W15-1,"")</f>
        <v/>
      </c>
      <c r="Z15" s="9">
        <f>U15</f>
        <v/>
      </c>
      <c r="AA15" s="15">
        <f>IFERROR(IF(N(M15)&gt;W15,(M15-W15)/(W15-Z15),""),"")</f>
        <v/>
      </c>
      <c r="AB15" s="24">
        <f>IFERROR(N15/(N15+O15+P15),"")</f>
        <v/>
      </c>
      <c r="AC15" s="16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17" t="inlineStr">
        <is>
          <t>VALUE TRAP? flag: AI design tools pressure; thesis weakened 10/23.</t>
        </is>
      </c>
    </row>
    <row r="16">
      <c r="A16" s="5" t="inlineStr">
        <is>
          <t>META</t>
        </is>
      </c>
      <c r="B16" s="5" t="inlineStr">
        <is>
          <t>Meta Platforms</t>
        </is>
      </c>
      <c r="C16" s="5" t="inlineStr">
        <is>
          <t>Buy Zone</t>
        </is>
      </c>
      <c r="D16" s="5" t="inlineStr">
        <is>
          <t>HELD</t>
        </is>
      </c>
      <c r="E16" s="5" t="inlineStr">
        <is>
          <t>A+</t>
        </is>
      </c>
      <c r="F16" s="23" t="n">
        <v>5</v>
      </c>
      <c r="G16" s="5" t="inlineStr">
        <is>
          <t>29 MIXED</t>
        </is>
      </c>
      <c r="H16" s="5" t="inlineStr">
        <is>
          <t>RICH -14% (low)</t>
        </is>
      </c>
      <c r="I16" s="5" t="inlineStr">
        <is>
          <t>INNOVATING</t>
        </is>
      </c>
      <c r="J16" s="7" t="n">
        <v>624.52</v>
      </c>
      <c r="K16" s="7" t="n">
        <v>668.6</v>
      </c>
      <c r="L16" s="7" t="n">
        <v>632.11</v>
      </c>
      <c r="M16" s="7" t="n">
        <v>850.51</v>
      </c>
      <c r="N16" s="23" t="n">
        <v>65</v>
      </c>
      <c r="O16" s="23" t="n">
        <v>6</v>
      </c>
      <c r="P16" s="23" t="n">
        <v>1</v>
      </c>
      <c r="Q16" s="8" t="inlineStr">
        <is>
          <t>n/a</t>
        </is>
      </c>
      <c r="R16" s="8" t="n">
        <v>46354</v>
      </c>
      <c r="S16" s="12">
        <f>J16/L16-1</f>
        <v/>
      </c>
      <c r="T16" s="12">
        <f>J16/K16-1</f>
        <v/>
      </c>
      <c r="U16" s="9">
        <f>L16*(1+Inputs!$B$17)</f>
        <v/>
      </c>
      <c r="V16" s="9">
        <f>L16*(1+Inputs!$B$18)</f>
        <v/>
      </c>
      <c r="W16" s="9">
        <f>L16*(1+Inputs!$B$19)</f>
        <v/>
      </c>
      <c r="X16" s="12">
        <f>J16/W16-1</f>
        <v/>
      </c>
      <c r="Y16" s="12">
        <f>IF(N(M16)&gt;0,M16/W16-1,"")</f>
        <v/>
      </c>
      <c r="Z16" s="9">
        <f>U16</f>
        <v/>
      </c>
      <c r="AA16" s="15">
        <f>IFERROR(IF(N(M16)&gt;W16,(M16-W16)/(W16-Z16),""),"")</f>
        <v/>
      </c>
      <c r="AB16" s="24">
        <f>IFERROR(N16/(N16+O16+P16),"")</f>
        <v/>
      </c>
      <c r="AC16" s="16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17" t="inlineStr">
        <is>
          <t>Already held (~15% of the joint account).</t>
        </is>
      </c>
    </row>
    <row r="17">
      <c r="A17" s="5" t="inlineStr">
        <is>
          <t>NEM</t>
        </is>
      </c>
      <c r="B17" s="5" t="inlineStr">
        <is>
          <t>Newmont</t>
        </is>
      </c>
      <c r="C17" s="5" t="inlineStr">
        <is>
          <t>Buy Zone</t>
        </is>
      </c>
      <c r="D17" s="5" t="inlineStr"/>
      <c r="E17" s="5" t="inlineStr">
        <is>
          <t>A</t>
        </is>
      </c>
      <c r="F17" s="23" t="n">
        <v>15</v>
      </c>
      <c r="G17" s="5" t="inlineStr">
        <is>
          <t>29 MIXED</t>
        </is>
      </c>
      <c r="H17" s="5" t="inlineStr">
        <is>
          <t>EXPENSIVE -28% (low)</t>
        </is>
      </c>
      <c r="I17" s="5" t="inlineStr">
        <is>
          <t>STABLE</t>
        </is>
      </c>
      <c r="J17" s="7" t="n">
        <v>111.8</v>
      </c>
      <c r="K17" s="7" t="n">
        <v>121.1</v>
      </c>
      <c r="L17" s="7" t="n">
        <v>112.49</v>
      </c>
      <c r="M17" s="7" t="n">
        <v>137.61</v>
      </c>
      <c r="N17" s="23" t="n">
        <v>24</v>
      </c>
      <c r="O17" s="23" t="n">
        <v>4</v>
      </c>
      <c r="P17" s="23" t="n">
        <v>2</v>
      </c>
      <c r="Q17" s="8" t="inlineStr">
        <is>
          <t>n/a</t>
        </is>
      </c>
      <c r="R17" s="5" t="n"/>
      <c r="S17" s="12">
        <f>J17/L17-1</f>
        <v/>
      </c>
      <c r="T17" s="12">
        <f>J17/K17-1</f>
        <v/>
      </c>
      <c r="U17" s="9">
        <f>L17*(1+Inputs!$B$17)</f>
        <v/>
      </c>
      <c r="V17" s="9">
        <f>L17*(1+Inputs!$B$18)</f>
        <v/>
      </c>
      <c r="W17" s="9">
        <f>L17*(1+Inputs!$B$19)</f>
        <v/>
      </c>
      <c r="X17" s="12">
        <f>J17/W17-1</f>
        <v/>
      </c>
      <c r="Y17" s="12">
        <f>IF(N(M17)&gt;0,M17/W17-1,"")</f>
        <v/>
      </c>
      <c r="Z17" s="9">
        <f>U17</f>
        <v/>
      </c>
      <c r="AA17" s="15">
        <f>IFERROR(IF(N(M17)&gt;W17,(M17-W17)/(W17-Z17),""),"")</f>
        <v/>
      </c>
      <c r="AB17" s="24">
        <f>IFERROR(N17/(N17+O17+P17),"")</f>
        <v/>
      </c>
      <c r="AC17" s="16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17" t="inlineStr"/>
    </row>
    <row r="18">
      <c r="A18" s="5" t="inlineStr">
        <is>
          <t>AMAT</t>
        </is>
      </c>
      <c r="B18" s="5" t="inlineStr">
        <is>
          <t>Applied Materials</t>
        </is>
      </c>
      <c r="C18" s="5" t="inlineStr">
        <is>
          <t>Buy Zone</t>
        </is>
      </c>
      <c r="D18" s="5" t="inlineStr"/>
      <c r="E18" s="5" t="inlineStr">
        <is>
          <t>A</t>
        </is>
      </c>
      <c r="F18" s="23" t="n">
        <v>17</v>
      </c>
      <c r="G18" s="5" t="inlineStr">
        <is>
          <t>29 MIXED</t>
        </is>
      </c>
      <c r="H18" s="5" t="inlineStr">
        <is>
          <t>EXPENSIVE -50% (low)</t>
        </is>
      </c>
      <c r="I18" s="5" t="inlineStr">
        <is>
          <t>INNOVATING</t>
        </is>
      </c>
      <c r="J18" s="7" t="n">
        <v>421.66</v>
      </c>
      <c r="K18" s="7" t="n">
        <v>459.67</v>
      </c>
      <c r="L18" s="7" t="n">
        <v>444.04</v>
      </c>
      <c r="M18" s="7" t="n">
        <v>651.64</v>
      </c>
      <c r="N18" s="23" t="n">
        <v>35</v>
      </c>
      <c r="O18" s="23" t="n">
        <v>5</v>
      </c>
      <c r="P18" s="23" t="n">
        <v>0</v>
      </c>
      <c r="Q18" s="8" t="n">
        <v>46338</v>
      </c>
      <c r="R18" s="5" t="n"/>
      <c r="S18" s="12">
        <f>J18/L18-1</f>
        <v/>
      </c>
      <c r="T18" s="12">
        <f>J18/K18-1</f>
        <v/>
      </c>
      <c r="U18" s="9">
        <f>L18*(1+Inputs!$B$17)</f>
        <v/>
      </c>
      <c r="V18" s="9">
        <f>L18*(1+Inputs!$B$18)</f>
        <v/>
      </c>
      <c r="W18" s="9">
        <f>L18*(1+Inputs!$B$19)</f>
        <v/>
      </c>
      <c r="X18" s="12">
        <f>J18/W18-1</f>
        <v/>
      </c>
      <c r="Y18" s="12">
        <f>IF(N(M18)&gt;0,M18/W18-1,"")</f>
        <v/>
      </c>
      <c r="Z18" s="9">
        <f>U18</f>
        <v/>
      </c>
      <c r="AA18" s="15">
        <f>IFERROR(IF(N(M18)&gt;W18,(M18-W18)/(W18-Z18),""),"")</f>
        <v/>
      </c>
      <c r="AB18" s="24">
        <f>IFERROR(N18/(N18+O18+P18),"")</f>
        <v/>
      </c>
      <c r="AC18" s="16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17" t="inlineStr">
        <is>
          <t>-4.5% after hours.</t>
        </is>
      </c>
    </row>
    <row r="19">
      <c r="A19" s="5" t="inlineStr">
        <is>
          <t>RGLD</t>
        </is>
      </c>
      <c r="B19" s="5" t="inlineStr">
        <is>
          <t>Royal Gold</t>
        </is>
      </c>
      <c r="C19" s="5" t="inlineStr">
        <is>
          <t>Buy Zone</t>
        </is>
      </c>
      <c r="D19" s="5" t="inlineStr"/>
      <c r="E19" s="5" t="inlineStr">
        <is>
          <t>A</t>
        </is>
      </c>
      <c r="F19" s="23" t="n">
        <v>12</v>
      </c>
      <c r="G19" s="5" t="inlineStr">
        <is>
          <t>14 EXTENDED</t>
        </is>
      </c>
      <c r="H19" s="5" t="inlineStr">
        <is>
          <t>FAIR +3% (high)</t>
        </is>
      </c>
      <c r="I19" s="5" t="inlineStr">
        <is>
          <t>STABLE</t>
        </is>
      </c>
      <c r="J19" s="7" t="n">
        <v>236.83</v>
      </c>
      <c r="K19" s="7" t="n">
        <v>246.65</v>
      </c>
      <c r="L19" s="7" t="n">
        <v>241.42</v>
      </c>
      <c r="M19" s="7" t="n">
        <v>310.08</v>
      </c>
      <c r="N19" s="23" t="n">
        <v>11</v>
      </c>
      <c r="O19" s="23" t="n">
        <v>3</v>
      </c>
      <c r="P19" s="23" t="n">
        <v>1</v>
      </c>
      <c r="Q19" s="8" t="inlineStr">
        <is>
          <t>n/a</t>
        </is>
      </c>
      <c r="R19" s="5" t="n"/>
      <c r="S19" s="12">
        <f>J19/L19-1</f>
        <v/>
      </c>
      <c r="T19" s="12">
        <f>J19/K19-1</f>
        <v/>
      </c>
      <c r="U19" s="9">
        <f>L19*(1+Inputs!$B$17)</f>
        <v/>
      </c>
      <c r="V19" s="9">
        <f>L19*(1+Inputs!$B$18)</f>
        <v/>
      </c>
      <c r="W19" s="9">
        <f>L19*(1+Inputs!$B$19)</f>
        <v/>
      </c>
      <c r="X19" s="12">
        <f>J19/W19-1</f>
        <v/>
      </c>
      <c r="Y19" s="12">
        <f>IF(N(M19)&gt;0,M19/W19-1,"")</f>
        <v/>
      </c>
      <c r="Z19" s="9">
        <f>U19</f>
        <v/>
      </c>
      <c r="AA19" s="15">
        <f>IFERROR(IF(N(M19)&gt;W19,(M19-W19)/(W19-Z19),""),"")</f>
        <v/>
      </c>
      <c r="AB19" s="24">
        <f>IFERROR(N19/(N19+O19+P19),"")</f>
        <v/>
      </c>
      <c r="AC19" s="16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17" t="inlineStr"/>
    </row>
    <row r="20">
      <c r="A20" s="5" t="inlineStr">
        <is>
          <t>WDC</t>
        </is>
      </c>
      <c r="B20" s="5" t="inlineStr">
        <is>
          <t>Western Digital</t>
        </is>
      </c>
      <c r="C20" s="5" t="inlineStr">
        <is>
          <t>Buy Zone</t>
        </is>
      </c>
      <c r="D20" s="5" t="inlineStr"/>
      <c r="E20" s="5" t="inlineStr">
        <is>
          <t>A</t>
        </is>
      </c>
      <c r="F20" s="23" t="n">
        <v>13</v>
      </c>
      <c r="G20" s="5" t="inlineStr">
        <is>
          <t>14 EXTENDED</t>
        </is>
      </c>
      <c r="H20" s="5" t="inlineStr">
        <is>
          <t>EXPENSIVE -50% (low)</t>
        </is>
      </c>
      <c r="I20" s="5" t="inlineStr">
        <is>
          <t>DISRUPTOR</t>
        </is>
      </c>
      <c r="J20" s="7" t="n">
        <v>395.41</v>
      </c>
      <c r="K20" s="7" t="n">
        <v>423.52</v>
      </c>
      <c r="L20" s="7" t="n">
        <v>418.23</v>
      </c>
      <c r="M20" s="7" t="n">
        <v>621.78</v>
      </c>
      <c r="N20" s="23" t="n">
        <v>22</v>
      </c>
      <c r="O20" s="23" t="n">
        <v>8</v>
      </c>
      <c r="P20" s="23" t="n">
        <v>0</v>
      </c>
      <c r="Q20" s="8" t="inlineStr">
        <is>
          <t>n/a</t>
        </is>
      </c>
      <c r="R20" s="5" t="n"/>
      <c r="S20" s="12">
        <f>J20/L20-1</f>
        <v/>
      </c>
      <c r="T20" s="12">
        <f>J20/K20-1</f>
        <v/>
      </c>
      <c r="U20" s="9">
        <f>L20*(1+Inputs!$B$17)</f>
        <v/>
      </c>
      <c r="V20" s="9">
        <f>L20*(1+Inputs!$B$18)</f>
        <v/>
      </c>
      <c r="W20" s="9">
        <f>L20*(1+Inputs!$B$19)</f>
        <v/>
      </c>
      <c r="X20" s="12">
        <f>J20/W20-1</f>
        <v/>
      </c>
      <c r="Y20" s="12">
        <f>IF(N(M20)&gt;0,M20/W20-1,"")</f>
        <v/>
      </c>
      <c r="Z20" s="9">
        <f>U20</f>
        <v/>
      </c>
      <c r="AA20" s="15">
        <f>IFERROR(IF(N(M20)&gt;W20,(M20-W20)/(W20-Z20),""),"")</f>
        <v/>
      </c>
      <c r="AB20" s="24">
        <f>IFERROR(N20/(N20+O20+P20),"")</f>
        <v/>
      </c>
      <c r="AC20" s="16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17" t="inlineStr">
        <is>
          <t>-4.5% after hours.</t>
        </is>
      </c>
    </row>
    <row r="21">
      <c r="A21" s="5" t="inlineStr">
        <is>
          <t>PAC</t>
        </is>
      </c>
      <c r="B21" s="5" t="inlineStr">
        <is>
          <t>Grupo Aeroportuario del Pacifico</t>
        </is>
      </c>
      <c r="C21" s="5" t="inlineStr">
        <is>
          <t>Buy Zone</t>
        </is>
      </c>
      <c r="D21" s="5" t="inlineStr"/>
      <c r="E21" s="5" t="inlineStr">
        <is>
          <t>A</t>
        </is>
      </c>
      <c r="F21" s="23" t="n">
        <v>10</v>
      </c>
      <c r="G21" s="5" t="inlineStr">
        <is>
          <t>0 EXTENDED</t>
        </is>
      </c>
      <c r="H21" s="5" t="inlineStr">
        <is>
          <t>DEEP VALUE +58% (med)</t>
        </is>
      </c>
      <c r="I21" s="5" t="inlineStr">
        <is>
          <t>DISRUPTOR</t>
        </is>
      </c>
      <c r="J21" s="7" t="n">
        <v>227.47</v>
      </c>
      <c r="K21" s="7" t="n">
        <v>208.31</v>
      </c>
      <c r="L21" s="7" t="n">
        <v>236.65</v>
      </c>
      <c r="M21" s="7" t="n">
        <v>232.5</v>
      </c>
      <c r="N21" s="23" t="n">
        <v>6</v>
      </c>
      <c r="O21" s="23" t="n">
        <v>7</v>
      </c>
      <c r="P21" s="23" t="n">
        <v>0</v>
      </c>
      <c r="Q21" s="8" t="inlineStr">
        <is>
          <t>n/a</t>
        </is>
      </c>
      <c r="R21" s="5" t="n"/>
      <c r="S21" s="12">
        <f>J21/L21-1</f>
        <v/>
      </c>
      <c r="T21" s="12">
        <f>J21/K21-1</f>
        <v/>
      </c>
      <c r="U21" s="9">
        <f>L21*(1+Inputs!$B$17)</f>
        <v/>
      </c>
      <c r="V21" s="9">
        <f>L21*(1+Inputs!$B$18)</f>
        <v/>
      </c>
      <c r="W21" s="9">
        <f>L21*(1+Inputs!$B$19)</f>
        <v/>
      </c>
      <c r="X21" s="12">
        <f>J21/W21-1</f>
        <v/>
      </c>
      <c r="Y21" s="12">
        <f>IF(N(M21)&gt;0,M21/W21-1,"")</f>
        <v/>
      </c>
      <c r="Z21" s="9">
        <f>U21</f>
        <v/>
      </c>
      <c r="AA21" s="15">
        <f>IFERROR(IF(N(M21)&gt;W21,(M21-W21)/(W21-Z21),""),"")</f>
        <v/>
      </c>
      <c r="AB21" s="24">
        <f>IFERROR(N21/(N21+O21+P21),"")</f>
        <v/>
      </c>
      <c r="AC21" s="16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17" t="inlineStr">
        <is>
          <t>Analyst target last updated 2020: stale.</t>
        </is>
      </c>
    </row>
    <row r="22">
      <c r="A22" s="5" t="inlineStr">
        <is>
          <t>CDNS</t>
        </is>
      </c>
      <c r="B22" s="5" t="inlineStr">
        <is>
          <t>Cadence Design</t>
        </is>
      </c>
      <c r="C22" s="5" t="inlineStr">
        <is>
          <t>Buy Zone</t>
        </is>
      </c>
      <c r="D22" s="5" t="inlineStr">
        <is>
          <t>HELD</t>
        </is>
      </c>
      <c r="E22" s="5" t="inlineStr">
        <is>
          <t>A</t>
        </is>
      </c>
      <c r="F22" s="23" t="n">
        <v>19</v>
      </c>
      <c r="G22" s="5" t="inlineStr">
        <is>
          <t>0 EXTENDED</t>
        </is>
      </c>
      <c r="H22" s="5" t="inlineStr">
        <is>
          <t>RICH -13% (med)</t>
        </is>
      </c>
      <c r="I22" s="5" t="inlineStr">
        <is>
          <t>INNOVATING</t>
        </is>
      </c>
      <c r="J22" s="7" t="n">
        <v>342.75</v>
      </c>
      <c r="K22" s="7" t="n">
        <v>320.24</v>
      </c>
      <c r="L22" s="7" t="n">
        <v>327.46</v>
      </c>
      <c r="M22" s="7" t="n">
        <v>415.04</v>
      </c>
      <c r="N22" s="23" t="n">
        <v>25</v>
      </c>
      <c r="O22" s="23" t="n">
        <v>3</v>
      </c>
      <c r="P22" s="23" t="n">
        <v>0</v>
      </c>
      <c r="Q22" s="8" t="inlineStr">
        <is>
          <t>n/a</t>
        </is>
      </c>
      <c r="R22" s="5" t="n"/>
      <c r="S22" s="12">
        <f>J22/L22-1</f>
        <v/>
      </c>
      <c r="T22" s="12">
        <f>J22/K22-1</f>
        <v/>
      </c>
      <c r="U22" s="9">
        <f>L22*(1+Inputs!$B$17)</f>
        <v/>
      </c>
      <c r="V22" s="9">
        <f>L22*(1+Inputs!$B$18)</f>
        <v/>
      </c>
      <c r="W22" s="9">
        <f>L22*(1+Inputs!$B$19)</f>
        <v/>
      </c>
      <c r="X22" s="12">
        <f>J22/W22-1</f>
        <v/>
      </c>
      <c r="Y22" s="12">
        <f>IF(N(M22)&gt;0,M22/W22-1,"")</f>
        <v/>
      </c>
      <c r="Z22" s="9">
        <f>U22</f>
        <v/>
      </c>
      <c r="AA22" s="15">
        <f>IFERROR(IF(N(M22)&gt;W22,(M22-W22)/(W22-Z22),""),"")</f>
        <v/>
      </c>
      <c r="AB22" s="24">
        <f>IFERROR(N22/(N22+O22+P22),"")</f>
        <v/>
      </c>
      <c r="AC22" s="16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17" t="inlineStr">
        <is>
          <t>Target agreement LOW: fundamental and Robinhood targets 35% apart.</t>
        </is>
      </c>
    </row>
    <row r="23">
      <c r="A23" s="5" t="inlineStr">
        <is>
          <t>ISRG</t>
        </is>
      </c>
      <c r="B23" s="5" t="inlineStr">
        <is>
          <t>Intuitive Surgical</t>
        </is>
      </c>
      <c r="C23" s="5" t="inlineStr">
        <is>
          <t>Buy Zone</t>
        </is>
      </c>
      <c r="D23" s="5" t="inlineStr"/>
      <c r="E23" s="5" t="inlineStr">
        <is>
          <t>A</t>
        </is>
      </c>
      <c r="F23" s="23" t="n">
        <v>20</v>
      </c>
      <c r="G23" s="5" t="inlineStr">
        <is>
          <t>0 EXTENDED</t>
        </is>
      </c>
      <c r="H23" s="5" t="inlineStr">
        <is>
          <t>DEEP VALUE +43% (high)</t>
        </is>
      </c>
      <c r="I23" s="5" t="inlineStr">
        <is>
          <t>AT RISK</t>
        </is>
      </c>
      <c r="J23" s="7" t="n">
        <v>448.76</v>
      </c>
      <c r="K23" s="7" t="n">
        <v>400.3</v>
      </c>
      <c r="L23" s="7" t="n">
        <v>433.61</v>
      </c>
      <c r="M23" s="7" t="n">
        <v>489.57</v>
      </c>
      <c r="N23" s="23" t="n">
        <v>21</v>
      </c>
      <c r="O23" s="23" t="n">
        <v>8</v>
      </c>
      <c r="P23" s="23" t="n">
        <v>2</v>
      </c>
      <c r="Q23" s="8" t="inlineStr">
        <is>
          <t>n/a</t>
        </is>
      </c>
      <c r="R23" s="5" t="n"/>
      <c r="S23" s="12">
        <f>J23/L23-1</f>
        <v/>
      </c>
      <c r="T23" s="12">
        <f>J23/K23-1</f>
        <v/>
      </c>
      <c r="U23" s="9">
        <f>L23*(1+Inputs!$B$17)</f>
        <v/>
      </c>
      <c r="V23" s="9">
        <f>L23*(1+Inputs!$B$18)</f>
        <v/>
      </c>
      <c r="W23" s="9">
        <f>L23*(1+Inputs!$B$19)</f>
        <v/>
      </c>
      <c r="X23" s="12">
        <f>J23/W23-1</f>
        <v/>
      </c>
      <c r="Y23" s="12">
        <f>IF(N(M23)&gt;0,M23/W23-1,"")</f>
        <v/>
      </c>
      <c r="Z23" s="9">
        <f>U23</f>
        <v/>
      </c>
      <c r="AA23" s="15">
        <f>IFERROR(IF(N(M23)&gt;W23,(M23-W23)/(W23-Z23),""),"")</f>
        <v/>
      </c>
      <c r="AB23" s="24">
        <f>IFERROR(N23/(N23+O23+P23),"")</f>
        <v/>
      </c>
      <c r="AC23" s="16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17" t="inlineStr">
        <is>
          <t>VALUE TRAP? flag from the quant grade; research says innovating.</t>
        </is>
      </c>
    </row>
    <row r="24">
      <c r="A24" s="5" t="inlineStr">
        <is>
          <t>TROW</t>
        </is>
      </c>
      <c r="B24" s="5" t="inlineStr">
        <is>
          <t>T. Rowe Price</t>
        </is>
      </c>
      <c r="C24" s="5" t="inlineStr">
        <is>
          <t>Buy Zone</t>
        </is>
      </c>
      <c r="D24" s="5" t="inlineStr"/>
      <c r="E24" s="5" t="inlineStr">
        <is>
          <t>A</t>
        </is>
      </c>
      <c r="F24" s="23" t="n">
        <v>21</v>
      </c>
      <c r="G24" s="5" t="inlineStr">
        <is>
          <t>0 EXTENDED</t>
        </is>
      </c>
      <c r="H24" s="5" t="inlineStr">
        <is>
          <t>DEEP VALUE +40% (med)</t>
        </is>
      </c>
      <c r="I24" s="5" t="inlineStr">
        <is>
          <t>STABLE</t>
        </is>
      </c>
      <c r="J24" s="7" t="n">
        <v>106.63</v>
      </c>
      <c r="K24" s="7" t="n">
        <v>105.77</v>
      </c>
      <c r="L24" s="7" t="n">
        <v>103.68</v>
      </c>
      <c r="M24" s="7" t="n">
        <v>102.83</v>
      </c>
      <c r="N24" s="23" t="n">
        <v>0</v>
      </c>
      <c r="O24" s="23" t="n">
        <v>10</v>
      </c>
      <c r="P24" s="23" t="n">
        <v>5</v>
      </c>
      <c r="Q24" s="8" t="inlineStr">
        <is>
          <t>n/a</t>
        </is>
      </c>
      <c r="R24" s="5" t="n"/>
      <c r="S24" s="12">
        <f>J24/L24-1</f>
        <v/>
      </c>
      <c r="T24" s="12">
        <f>J24/K24-1</f>
        <v/>
      </c>
      <c r="U24" s="9">
        <f>L24*(1+Inputs!$B$17)</f>
        <v/>
      </c>
      <c r="V24" s="9">
        <f>L24*(1+Inputs!$B$18)</f>
        <v/>
      </c>
      <c r="W24" s="9">
        <f>L24*(1+Inputs!$B$19)</f>
        <v/>
      </c>
      <c r="X24" s="12">
        <f>J24/W24-1</f>
        <v/>
      </c>
      <c r="Y24" s="12">
        <f>IF(N(M24)&gt;0,M24/W24-1,"")</f>
        <v/>
      </c>
      <c r="Z24" s="9">
        <f>U24</f>
        <v/>
      </c>
      <c r="AA24" s="15">
        <f>IFERROR(IF(N(M24)&gt;W24,(M24-W24)/(W24-Z24),""),"")</f>
        <v/>
      </c>
      <c r="AB24" s="24">
        <f>IFERROR(N24/(N24+O24+P24),"")</f>
        <v/>
      </c>
      <c r="AC24" s="16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17" t="inlineStr">
        <is>
          <t>VALUE TRAP? Losing assets to passive funds. No Buy ratings.</t>
        </is>
      </c>
    </row>
    <row r="25">
      <c r="A25" s="5" t="inlineStr">
        <is>
          <t>SKHY</t>
        </is>
      </c>
      <c r="B25" s="5" t="inlineStr">
        <is>
          <t>SK hynix (ADR)</t>
        </is>
      </c>
      <c r="C25" s="5" t="inlineStr">
        <is>
          <t>Buy Zone</t>
        </is>
      </c>
      <c r="D25" s="5" t="inlineStr"/>
      <c r="E25" s="5" t="inlineStr">
        <is>
          <t>A+</t>
        </is>
      </c>
      <c r="F25" s="23" t="n">
        <v>2</v>
      </c>
      <c r="G25" s="5" t="inlineStr">
        <is>
          <t>n/a</t>
        </is>
      </c>
      <c r="H25" s="5" t="inlineStr">
        <is>
          <t>DEEP VALUE +100% (low)</t>
        </is>
      </c>
      <c r="I25" s="5" t="inlineStr">
        <is>
          <t>DISRUPTOR</t>
        </is>
      </c>
      <c r="J25" s="7" t="n">
        <v>162.09</v>
      </c>
      <c r="K25" s="7" t="n">
        <v>169.17</v>
      </c>
      <c r="L25" s="7" t="n">
        <v>154.83</v>
      </c>
      <c r="M25" s="7" t="n">
        <v>263.91</v>
      </c>
      <c r="N25" s="23" t="n">
        <v>12</v>
      </c>
      <c r="O25" s="23" t="n">
        <v>2</v>
      </c>
      <c r="P25" s="23" t="n">
        <v>0</v>
      </c>
      <c r="Q25" s="8" t="inlineStr">
        <is>
          <t>n/a</t>
        </is>
      </c>
      <c r="R25" s="8" t="n">
        <v>46348</v>
      </c>
      <c r="S25" s="12">
        <f>J25/L25-1</f>
        <v/>
      </c>
      <c r="T25" s="12">
        <f>J25/K25-1</f>
        <v/>
      </c>
      <c r="U25" s="9">
        <f>L25*(1+Inputs!$B$17)</f>
        <v/>
      </c>
      <c r="V25" s="9">
        <f>L25*(1+Inputs!$B$18)</f>
        <v/>
      </c>
      <c r="W25" s="9">
        <f>L25*(1+Inputs!$B$19)</f>
        <v/>
      </c>
      <c r="X25" s="12">
        <f>J25/W25-1</f>
        <v/>
      </c>
      <c r="Y25" s="12">
        <f>IF(N(M25)&gt;0,M25/W25-1,"")</f>
        <v/>
      </c>
      <c r="Z25" s="9">
        <f>U25</f>
        <v/>
      </c>
      <c r="AA25" s="15">
        <f>IFERROR(IF(N(M25)&gt;W25,(M25-W25)/(W25-Z25),""),"")</f>
        <v/>
      </c>
      <c r="AB25" s="24">
        <f>IFERROR(N25/(N25+O25+P25),"")</f>
        <v/>
      </c>
      <c r="AC25" s="16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17" t="inlineStr">
        <is>
          <t>-5.3% after hours.</t>
        </is>
      </c>
    </row>
    <row r="26">
      <c r="A26" s="5" t="inlineStr">
        <is>
          <t>PSA</t>
        </is>
      </c>
      <c r="B26" s="5" t="inlineStr">
        <is>
          <t>Public Storage</t>
        </is>
      </c>
      <c r="C26" s="5" t="inlineStr">
        <is>
          <t>Buy Zone</t>
        </is>
      </c>
      <c r="D26" s="5" t="inlineStr"/>
      <c r="E26" s="5" t="inlineStr">
        <is>
          <t>A</t>
        </is>
      </c>
      <c r="F26" s="23" t="n">
        <v>16</v>
      </c>
      <c r="G26" s="5" t="inlineStr">
        <is>
          <t>n/a</t>
        </is>
      </c>
      <c r="H26" s="5" t="inlineStr">
        <is>
          <t>n/a</t>
        </is>
      </c>
      <c r="I26" s="5" t="inlineStr">
        <is>
          <t>n/a</t>
        </is>
      </c>
      <c r="J26" s="7" t="n">
        <v>317.06</v>
      </c>
      <c r="K26" s="7" t="n">
        <v>298.61</v>
      </c>
      <c r="L26" s="7" t="n">
        <v>302.64</v>
      </c>
      <c r="M26" s="7" t="n">
        <v>330.06</v>
      </c>
      <c r="N26" s="23" t="n">
        <v>7</v>
      </c>
      <c r="O26" s="23" t="n">
        <v>16</v>
      </c>
      <c r="P26" s="23" t="n">
        <v>0</v>
      </c>
      <c r="Q26" s="8" t="inlineStr">
        <is>
          <t>n/a</t>
        </is>
      </c>
      <c r="R26" s="5" t="n"/>
      <c r="S26" s="12">
        <f>J26/L26-1</f>
        <v/>
      </c>
      <c r="T26" s="12">
        <f>J26/K26-1</f>
        <v/>
      </c>
      <c r="U26" s="9">
        <f>L26*(1+Inputs!$B$17)</f>
        <v/>
      </c>
      <c r="V26" s="9">
        <f>L26*(1+Inputs!$B$18)</f>
        <v/>
      </c>
      <c r="W26" s="9">
        <f>L26*(1+Inputs!$B$19)</f>
        <v/>
      </c>
      <c r="X26" s="12">
        <f>J26/W26-1</f>
        <v/>
      </c>
      <c r="Y26" s="12">
        <f>IF(N(M26)&gt;0,M26/W26-1,"")</f>
        <v/>
      </c>
      <c r="Z26" s="9">
        <f>U26</f>
        <v/>
      </c>
      <c r="AA26" s="15">
        <f>IFERROR(IF(N(M26)&gt;W26,(M26-W26)/(W26-Z26),""),"")</f>
        <v/>
      </c>
      <c r="AB26" s="24">
        <f>IFERROR(N26/(N26+O26+P26),"")</f>
        <v/>
      </c>
      <c r="AC26" s="16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17" t="inlineStr"/>
    </row>
    <row r="27">
      <c r="A27" s="5" t="inlineStr">
        <is>
          <t>KEYS</t>
        </is>
      </c>
      <c r="B27" s="5" t="inlineStr">
        <is>
          <t>Keysight</t>
        </is>
      </c>
      <c r="C27" s="5" t="inlineStr">
        <is>
          <t>Buy Zone</t>
        </is>
      </c>
      <c r="D27" s="5" t="inlineStr"/>
      <c r="E27" s="5" t="inlineStr">
        <is>
          <t>A</t>
        </is>
      </c>
      <c r="F27" s="23" t="n">
        <v>23</v>
      </c>
      <c r="G27" s="5" t="inlineStr">
        <is>
          <t>n/a</t>
        </is>
      </c>
      <c r="H27" s="5" t="inlineStr">
        <is>
          <t>EXPENSIVE -40% (med)</t>
        </is>
      </c>
      <c r="I27" s="5" t="inlineStr">
        <is>
          <t>AT RISK</t>
        </is>
      </c>
      <c r="J27" s="7" t="n">
        <v>329.84</v>
      </c>
      <c r="K27" s="7" t="n">
        <v>341.12</v>
      </c>
      <c r="L27" s="7" t="n">
        <v>316.26</v>
      </c>
      <c r="M27" s="7" t="n">
        <v>424.18</v>
      </c>
      <c r="N27" s="23" t="n">
        <v>13</v>
      </c>
      <c r="O27" s="23" t="n">
        <v>2</v>
      </c>
      <c r="P27" s="23" t="n">
        <v>0</v>
      </c>
      <c r="Q27" s="8" t="n">
        <v>46345</v>
      </c>
      <c r="R27" s="5" t="n"/>
      <c r="S27" s="12">
        <f>J27/L27-1</f>
        <v/>
      </c>
      <c r="T27" s="12">
        <f>J27/K27-1</f>
        <v/>
      </c>
      <c r="U27" s="9">
        <f>L27*(1+Inputs!$B$17)</f>
        <v/>
      </c>
      <c r="V27" s="9">
        <f>L27*(1+Inputs!$B$18)</f>
        <v/>
      </c>
      <c r="W27" s="9">
        <f>L27*(1+Inputs!$B$19)</f>
        <v/>
      </c>
      <c r="X27" s="12">
        <f>J27/W27-1</f>
        <v/>
      </c>
      <c r="Y27" s="12">
        <f>IF(N(M27)&gt;0,M27/W27-1,"")</f>
        <v/>
      </c>
      <c r="Z27" s="9">
        <f>U27</f>
        <v/>
      </c>
      <c r="AA27" s="15">
        <f>IFERROR(IF(N(M27)&gt;W27,(M27-W27)/(W27-Z27),""),"")</f>
        <v/>
      </c>
      <c r="AB27" s="24">
        <f>IFERROR(N27/(N27+O27+P27),"")</f>
        <v/>
      </c>
      <c r="AC27" s="16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17" t="inlineStr"/>
    </row>
    <row r="28">
      <c r="A28" s="5" t="inlineStr">
        <is>
          <t>MOD</t>
        </is>
      </c>
      <c r="B28" s="5" t="inlineStr">
        <is>
          <t>Modine Manufacturing</t>
        </is>
      </c>
      <c r="C28" s="5" t="inlineStr">
        <is>
          <t>Re-buy</t>
        </is>
      </c>
      <c r="D28" s="5" t="inlineStr"/>
      <c r="E28" s="5" t="inlineStr">
        <is>
          <t>n/a</t>
        </is>
      </c>
      <c r="F28" s="5" t="n"/>
      <c r="G28" s="5" t="inlineStr">
        <is>
          <t>WAIT (re-buy stage)</t>
        </is>
      </c>
      <c r="H28" s="5" t="inlineStr">
        <is>
          <t>EXPENSIVE -50% (low)</t>
        </is>
      </c>
      <c r="I28" s="5" t="inlineStr">
        <is>
          <t>INNOVATING</t>
        </is>
      </c>
      <c r="J28" s="7" t="n">
        <v>138.79</v>
      </c>
      <c r="K28" s="7" t="n">
        <v>175.88</v>
      </c>
      <c r="L28" s="7" t="n">
        <v>216.14</v>
      </c>
      <c r="M28" s="7" t="n">
        <v>282.48</v>
      </c>
      <c r="N28" s="23" t="n">
        <v>12</v>
      </c>
      <c r="O28" s="23" t="n">
        <v>0</v>
      </c>
      <c r="P28" s="23" t="n">
        <v>0</v>
      </c>
      <c r="Q28" s="8" t="inlineStr">
        <is>
          <t>n/a</t>
        </is>
      </c>
      <c r="R28" s="8" t="n">
        <v>46340</v>
      </c>
      <c r="S28" s="12">
        <f>J28/L28-1</f>
        <v/>
      </c>
      <c r="T28" s="12">
        <f>J28/K28-1</f>
        <v/>
      </c>
      <c r="U28" s="9">
        <f>L28*(1+Inputs!$B$17)</f>
        <v/>
      </c>
      <c r="V28" s="9">
        <f>L28*(1+Inputs!$B$18)</f>
        <v/>
      </c>
      <c r="W28" s="9">
        <f>L28*(1+Inputs!$B$19)</f>
        <v/>
      </c>
      <c r="X28" s="12">
        <f>J28/W28-1</f>
        <v/>
      </c>
      <c r="Y28" s="12">
        <f>IF(N(M28)&gt;0,M28/W28-1,"")</f>
        <v/>
      </c>
      <c r="Z28" s="9">
        <f>U28</f>
        <v/>
      </c>
      <c r="AA28" s="15">
        <f>IFERROR(IF(N(M28)&gt;W28,(M28-W28)/(W28-Z28),""),"")</f>
        <v/>
      </c>
      <c r="AB28" s="24">
        <f>IFERROR(N28/(N28+O28+P28),"")</f>
        <v/>
      </c>
      <c r="AC28" s="16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17" t="inlineStr">
        <is>
          <t>Sold 10/14 @ 162.10 at a loss: do not rebuy before the wash-sale date.</t>
        </is>
      </c>
    </row>
    <row r="29">
      <c r="A29" s="5" t="inlineStr">
        <is>
          <t>SPG</t>
        </is>
      </c>
      <c r="B29" s="5" t="inlineStr">
        <is>
          <t>Simon Property Group</t>
        </is>
      </c>
      <c r="C29" s="5" t="inlineStr">
        <is>
          <t>New industry</t>
        </is>
      </c>
      <c r="D29" s="5" t="inlineStr"/>
      <c r="E29" s="5" t="inlineStr">
        <is>
          <t>A</t>
        </is>
      </c>
      <c r="F29" s="5" t="n"/>
      <c r="G29" s="5" t="inlineStr">
        <is>
          <t>0 EXTENDED</t>
        </is>
      </c>
      <c r="H29" s="5" t="inlineStr">
        <is>
          <t>FAIR -2% (high)</t>
        </is>
      </c>
      <c r="I29" s="5" t="inlineStr">
        <is>
          <t>STABLE</t>
        </is>
      </c>
      <c r="J29" s="7" t="n">
        <v>215.72</v>
      </c>
      <c r="K29" s="7" t="n">
        <v>207.18</v>
      </c>
      <c r="L29" s="7" t="n">
        <v>205.72</v>
      </c>
      <c r="M29" s="7" t="n">
        <v>228.89</v>
      </c>
      <c r="N29" s="23" t="n">
        <v>7</v>
      </c>
      <c r="O29" s="23" t="n">
        <v>15</v>
      </c>
      <c r="P29" s="23" t="n">
        <v>0</v>
      </c>
      <c r="Q29" s="8" t="n">
        <v>46331</v>
      </c>
      <c r="R29" s="5" t="n"/>
      <c r="S29" s="12">
        <f>J29/L29-1</f>
        <v/>
      </c>
      <c r="T29" s="12">
        <f>J29/K29-1</f>
        <v/>
      </c>
      <c r="U29" s="9">
        <f>L29*(1+Inputs!$B$17)</f>
        <v/>
      </c>
      <c r="V29" s="9">
        <f>L29*(1+Inputs!$B$18)</f>
        <v/>
      </c>
      <c r="W29" s="9">
        <f>L29*(1+Inputs!$B$19)</f>
        <v/>
      </c>
      <c r="X29" s="12">
        <f>J29/W29-1</f>
        <v/>
      </c>
      <c r="Y29" s="12">
        <f>IF(N(M29)&gt;0,M29/W29-1,"")</f>
        <v/>
      </c>
      <c r="Z29" s="9">
        <f>U29</f>
        <v/>
      </c>
      <c r="AA29" s="15">
        <f>IFERROR(IF(N(M29)&gt;W29,(M29-W29)/(W29-Z29),""),"")</f>
        <v/>
      </c>
      <c r="AB29" s="24">
        <f>IFERROR(N29/(N29+O29+P29),"")</f>
        <v/>
      </c>
      <c r="AC29" s="16">
        <f>IF(D29="HELD","HELD: see Holdings sheet",IF(IF(ISNUMBER(R29),Inputs!$B$5&lt;R29,FALSE),"WASH-SALE LOCK until "&amp;TEXT(R29,"m/d"),IF(J29&lt;U29,"BELOW ZONE: wait for 200-day reclaim",IF(J29&gt;V29,"ABOVE ZONE: extended, wait",IF(IF(ISNUMBER(Q29),AND(Q29&gt;Inputs!$B$5,Q29-Inputs!$B$5&lt;=Inputs!$B$16),FALSE),"IN ZONE: earnings soon, wait",IF(N(M29)&lt;=J29,"IN ZONE: analysts see no upside",IF(J29&lt;=W29,"IN ZONE: at/below buy target - research","IN ZONE: research")))))))</f>
        <v/>
      </c>
      <c r="AD29" s="17" t="inlineStr">
        <is>
          <t>Malls REIT. Only new name already inside the buy zone. Analysts mostly Hold.</t>
        </is>
      </c>
    </row>
    <row r="30">
      <c r="A30" s="5" t="inlineStr">
        <is>
          <t>MNST</t>
        </is>
      </c>
      <c r="B30" s="5" t="inlineStr">
        <is>
          <t>Monster Beverage</t>
        </is>
      </c>
      <c r="C30" s="5" t="inlineStr">
        <is>
          <t>New industry</t>
        </is>
      </c>
      <c r="D30" s="5" t="inlineStr"/>
      <c r="E30" s="5" t="inlineStr">
        <is>
          <t>A</t>
        </is>
      </c>
      <c r="F30" s="5" t="n"/>
      <c r="G30" s="5" t="inlineStr">
        <is>
          <t>Consumer staples</t>
        </is>
      </c>
      <c r="H30" s="5" t="inlineStr">
        <is>
          <t>RICH -10% (med)</t>
        </is>
      </c>
      <c r="I30" s="5" t="inlineStr">
        <is>
          <t>STABLE</t>
        </is>
      </c>
      <c r="J30" s="7" t="n">
        <v>46.35</v>
      </c>
      <c r="K30" s="7" t="n">
        <v>44.75</v>
      </c>
      <c r="L30" s="7" t="n">
        <v>43.04</v>
      </c>
      <c r="M30" s="7" t="n">
        <v>50.69</v>
      </c>
      <c r="N30" s="23" t="n">
        <v>14</v>
      </c>
      <c r="O30" s="23" t="n">
        <v>13</v>
      </c>
      <c r="P30" s="23" t="n">
        <v>1</v>
      </c>
      <c r="Q30" s="8" t="n">
        <v>46331</v>
      </c>
      <c r="R30" s="5" t="n"/>
      <c r="S30" s="12">
        <f>J30/L30-1</f>
        <v/>
      </c>
      <c r="T30" s="12">
        <f>J30/K30-1</f>
        <v/>
      </c>
      <c r="U30" s="9">
        <f>L30*(1+Inputs!$B$17)</f>
        <v/>
      </c>
      <c r="V30" s="9">
        <f>L30*(1+Inputs!$B$18)</f>
        <v/>
      </c>
      <c r="W30" s="9">
        <f>L30*(1+Inputs!$B$19)</f>
        <v/>
      </c>
      <c r="X30" s="12">
        <f>J30/W30-1</f>
        <v/>
      </c>
      <c r="Y30" s="12">
        <f>IF(N(M30)&gt;0,M30/W30-1,"")</f>
        <v/>
      </c>
      <c r="Z30" s="9">
        <f>U30</f>
        <v/>
      </c>
      <c r="AA30" s="15">
        <f>IFERROR(IF(N(M30)&gt;W30,(M30-W30)/(W30-Z30),""),"")</f>
        <v/>
      </c>
      <c r="AB30" s="24">
        <f>IFERROR(N30/(N30+O30+P30),"")</f>
        <v/>
      </c>
      <c r="AC30" s="16">
        <f>IF(D30="HELD","HELD: see Holdings sheet",IF(IF(ISNUMBER(R30),Inputs!$B$5&lt;R30,FALSE),"WASH-SALE LOCK until "&amp;TEXT(R30,"m/d"),IF(J30&lt;U30,"BELOW ZONE: wait for 200-day reclaim",IF(J30&gt;V30,"ABOVE ZONE: extended, wait",IF(IF(ISNUMBER(Q30),AND(Q30&gt;Inputs!$B$5,Q30-Inputs!$B$5&lt;=Inputs!$B$16),FALSE),"IN ZONE: earnings soon, wait",IF(N(M30)&lt;=J30,"IN ZONE: analysts see no upside",IF(J30&lt;=W30,"IN ZONE: at/below buy target - research","IN ZONE: research")))))))</f>
        <v/>
      </c>
      <c r="AD30" s="17" t="inlineStr">
        <is>
          <t>Consumer staples. Rev +20%, net margin 23%. 2-for-1 split Aug 2026.</t>
        </is>
      </c>
    </row>
    <row r="31">
      <c r="A31" s="5" t="inlineStr">
        <is>
          <t>INCY</t>
        </is>
      </c>
      <c r="B31" s="5" t="inlineStr">
        <is>
          <t>Incyte</t>
        </is>
      </c>
      <c r="C31" s="5" t="inlineStr">
        <is>
          <t>New industry</t>
        </is>
      </c>
      <c r="D31" s="5" t="inlineStr"/>
      <c r="E31" s="5" t="inlineStr">
        <is>
          <t>A+</t>
        </is>
      </c>
      <c r="F31" s="5" t="n"/>
      <c r="G31" s="5" t="inlineStr">
        <is>
          <t>Biotech</t>
        </is>
      </c>
      <c r="H31" s="5" t="inlineStr">
        <is>
          <t>DEEP VALUE +100% (low)</t>
        </is>
      </c>
      <c r="I31" s="5" t="inlineStr">
        <is>
          <t>INNOVATING</t>
        </is>
      </c>
      <c r="J31" s="7" t="n">
        <v>116.8</v>
      </c>
      <c r="K31" s="7" t="n">
        <v>120.62</v>
      </c>
      <c r="L31" s="7" t="n">
        <v>107.99</v>
      </c>
      <c r="M31" s="7" t="n">
        <v>132.78</v>
      </c>
      <c r="N31" s="23" t="n">
        <v>14</v>
      </c>
      <c r="O31" s="23" t="n">
        <v>15</v>
      </c>
      <c r="P31" s="23" t="n">
        <v>2</v>
      </c>
      <c r="Q31" s="8" t="inlineStr">
        <is>
          <t>n/a</t>
        </is>
      </c>
      <c r="R31" s="5" t="n"/>
      <c r="S31" s="12">
        <f>J31/L31-1</f>
        <v/>
      </c>
      <c r="T31" s="12">
        <f>J31/K31-1</f>
        <v/>
      </c>
      <c r="U31" s="9">
        <f>L31*(1+Inputs!$B$17)</f>
        <v/>
      </c>
      <c r="V31" s="9">
        <f>L31*(1+Inputs!$B$18)</f>
        <v/>
      </c>
      <c r="W31" s="9">
        <f>L31*(1+Inputs!$B$19)</f>
        <v/>
      </c>
      <c r="X31" s="12">
        <f>J31/W31-1</f>
        <v/>
      </c>
      <c r="Y31" s="12">
        <f>IF(N(M31)&gt;0,M31/W31-1,"")</f>
        <v/>
      </c>
      <c r="Z31" s="9">
        <f>U31</f>
        <v/>
      </c>
      <c r="AA31" s="15">
        <f>IFERROR(IF(N(M31)&gt;W31,(M31-W31)/(W31-Z31),""),"")</f>
        <v/>
      </c>
      <c r="AB31" s="24">
        <f>IFERROR(N31/(N31+O31+P31),"")</f>
        <v/>
      </c>
      <c r="AC31" s="16">
        <f>IF(D31="HELD","HELD: see Holdings sheet",IF(IF(ISNUMBER(R31),Inputs!$B$5&lt;R31,FALSE),"WASH-SALE LOCK until "&amp;TEXT(R31,"m/d"),IF(J31&lt;U31,"BELOW ZONE: wait for 200-day reclaim",IF(J31&gt;V31,"ABOVE ZONE: extended, wait",IF(IF(ISNUMBER(Q31),AND(Q31&gt;Inputs!$B$5,Q31-Inputs!$B$5&lt;=Inputs!$B$16),FALSE),"IN ZONE: earnings soon, wait",IF(N(M31)&lt;=J31,"IN ZONE: analysts see no upside",IF(J31&lt;=W31,"IN ZONE: at/below buy target - research","IN ZONE: research")))))))</f>
        <v/>
      </c>
      <c r="AD31" s="17" t="inlineStr">
        <is>
          <t>Biotech. Q3 GAAP loss -$3.86/sh from a one-time $1.23B Vega IPR&amp;D charge; revenue +14%. Analysts split Buy/Hold.</t>
        </is>
      </c>
    </row>
    <row r="32">
      <c r="A32" s="5" t="inlineStr">
        <is>
          <t>ANET</t>
        </is>
      </c>
      <c r="B32" s="5" t="inlineStr">
        <is>
          <t>Arista Networks</t>
        </is>
      </c>
      <c r="C32" s="5" t="inlineStr">
        <is>
          <t>New industry</t>
        </is>
      </c>
      <c r="D32" s="5" t="inlineStr"/>
      <c r="E32" s="5" t="inlineStr">
        <is>
          <t>A+</t>
        </is>
      </c>
      <c r="F32" s="5" t="n"/>
      <c r="G32" s="5" t="inlineStr">
        <is>
          <t>AI networking</t>
        </is>
      </c>
      <c r="H32" s="5" t="inlineStr">
        <is>
          <t>EXPENSIVE -32% (low)</t>
        </is>
      </c>
      <c r="I32" s="5" t="inlineStr">
        <is>
          <t>INNOVATING</t>
        </is>
      </c>
      <c r="J32" s="7" t="n">
        <v>184.22</v>
      </c>
      <c r="K32" s="7" t="n">
        <v>195.57</v>
      </c>
      <c r="L32" s="7" t="n">
        <v>164.96</v>
      </c>
      <c r="M32" s="7" t="n">
        <v>248.54</v>
      </c>
      <c r="N32" s="23" t="n">
        <v>35</v>
      </c>
      <c r="O32" s="23" t="n">
        <v>0</v>
      </c>
      <c r="P32" s="23" t="n">
        <v>0</v>
      </c>
      <c r="Q32" s="8" t="n">
        <v>46329</v>
      </c>
      <c r="R32" s="5" t="n"/>
      <c r="S32" s="12">
        <f>J32/L32-1</f>
        <v/>
      </c>
      <c r="T32" s="12">
        <f>J32/K32-1</f>
        <v/>
      </c>
      <c r="U32" s="9">
        <f>L32*(1+Inputs!$B$17)</f>
        <v/>
      </c>
      <c r="V32" s="9">
        <f>L32*(1+Inputs!$B$18)</f>
        <v/>
      </c>
      <c r="W32" s="9">
        <f>L32*(1+Inputs!$B$19)</f>
        <v/>
      </c>
      <c r="X32" s="12">
        <f>J32/W32-1</f>
        <v/>
      </c>
      <c r="Y32" s="12">
        <f>IF(N(M32)&gt;0,M32/W32-1,"")</f>
        <v/>
      </c>
      <c r="Z32" s="9">
        <f>U32</f>
        <v/>
      </c>
      <c r="AA32" s="15">
        <f>IFERROR(IF(N(M32)&gt;W32,(M32-W32)/(W32-Z32),""),"")</f>
        <v/>
      </c>
      <c r="AB32" s="24">
        <f>IFERROR(N32/(N32+O32+P32),"")</f>
        <v/>
      </c>
      <c r="AC32" s="16">
        <f>IF(D32="HELD","HELD: see Holdings sheet",IF(IF(ISNUMBER(R32),Inputs!$B$5&lt;R32,FALSE),"WASH-SALE LOCK until "&amp;TEXT(R32,"m/d"),IF(J32&lt;U32,"BELOW ZONE: wait for 200-day reclaim",IF(J32&gt;V32,"ABOVE ZONE: extended, wait",IF(IF(ISNUMBER(Q32),AND(Q32&gt;Inputs!$B$5,Q32-Inputs!$B$5&lt;=Inputs!$B$16),FALSE),"IN ZONE: earnings soon, wait",IF(N(M32)&lt;=J32,"IN ZONE: analysts see no upside",IF(J32&lt;=W32,"IN ZONE: at/below buy target - research","IN ZONE: research")))))))</f>
        <v/>
      </c>
      <c r="AD32" s="17" t="inlineStr">
        <is>
          <t>AI networking. Fell ~18% from its 10/9 record on AI-debt worries. Still tied to AI capex like the chip names.</t>
        </is>
      </c>
    </row>
    <row r="33">
      <c r="A33" s="5" t="inlineStr">
        <is>
          <t>UNP</t>
        </is>
      </c>
      <c r="B33" s="5" t="inlineStr">
        <is>
          <t>Union Pacific</t>
        </is>
      </c>
      <c r="C33" s="5" t="inlineStr">
        <is>
          <t>New industry</t>
        </is>
      </c>
      <c r="D33" s="5" t="inlineStr"/>
      <c r="E33" s="5" t="inlineStr">
        <is>
          <t>A</t>
        </is>
      </c>
      <c r="F33" s="5" t="n"/>
      <c r="G33" s="5" t="inlineStr">
        <is>
          <t>Railroad</t>
        </is>
      </c>
      <c r="H33" s="5" t="inlineStr">
        <is>
          <t>RICH -11% (high)</t>
        </is>
      </c>
      <c r="I33" s="5" t="inlineStr">
        <is>
          <t>AT RISK</t>
        </is>
      </c>
      <c r="J33" s="7" t="n">
        <v>301.93</v>
      </c>
      <c r="K33" s="7" t="n">
        <v>287.39</v>
      </c>
      <c r="L33" s="7" t="n">
        <v>269.98</v>
      </c>
      <c r="M33" s="7" t="n">
        <v>334.65</v>
      </c>
      <c r="N33" s="23" t="n">
        <v>19</v>
      </c>
      <c r="O33" s="23" t="n">
        <v>8</v>
      </c>
      <c r="P33" s="23" t="n">
        <v>1</v>
      </c>
      <c r="Q33" s="8" t="inlineStr">
        <is>
          <t>n/a</t>
        </is>
      </c>
      <c r="R33" s="5" t="n"/>
      <c r="S33" s="12">
        <f>J33/L33-1</f>
        <v/>
      </c>
      <c r="T33" s="12">
        <f>J33/K33-1</f>
        <v/>
      </c>
      <c r="U33" s="9">
        <f>L33*(1+Inputs!$B$17)</f>
        <v/>
      </c>
      <c r="V33" s="9">
        <f>L33*(1+Inputs!$B$18)</f>
        <v/>
      </c>
      <c r="W33" s="9">
        <f>L33*(1+Inputs!$B$19)</f>
        <v/>
      </c>
      <c r="X33" s="12">
        <f>J33/W33-1</f>
        <v/>
      </c>
      <c r="Y33" s="12">
        <f>IF(N(M33)&gt;0,M33/W33-1,"")</f>
        <v/>
      </c>
      <c r="Z33" s="9">
        <f>U33</f>
        <v/>
      </c>
      <c r="AA33" s="15">
        <f>IFERROR(IF(N(M33)&gt;W33,(M33-W33)/(W33-Z33),""),"")</f>
        <v/>
      </c>
      <c r="AB33" s="24">
        <f>IFERROR(N33/(N33+O33+P33),"")</f>
        <v/>
      </c>
      <c r="AC33" s="16">
        <f>IF(D33="HELD","HELD: see Holdings sheet",IF(IF(ISNUMBER(R33),Inputs!$B$5&lt;R33,FALSE),"WASH-SALE LOCK until "&amp;TEXT(R33,"m/d"),IF(J33&lt;U33,"BELOW ZONE: wait for 200-day reclaim",IF(J33&gt;V33,"ABOVE ZONE: extended, wait",IF(IF(ISNUMBER(Q33),AND(Q33&gt;Inputs!$B$5,Q33-Inputs!$B$5&lt;=Inputs!$B$16),FALSE),"IN ZONE: earnings soon, wait",IF(N(M33)&lt;=J33,"IN ZONE: analysts see no upside",IF(J33&lt;=W33,"IN ZONE: at/below buy target - research","IN ZONE: research")))))))</f>
        <v/>
      </c>
      <c r="AD33" s="17" t="inlineStr">
        <is>
          <t>Railroad. Norfolk Southern merger under STB review, close expected 2H 2027. Disruption quant flags AT RISK: check why.</t>
        </is>
      </c>
    </row>
    <row r="34">
      <c r="A34" s="5" t="inlineStr">
        <is>
          <t>VRTX</t>
        </is>
      </c>
      <c r="B34" s="5" t="inlineStr">
        <is>
          <t>Vertex Pharmaceuticals</t>
        </is>
      </c>
      <c r="C34" s="5" t="inlineStr">
        <is>
          <t>New industry</t>
        </is>
      </c>
      <c r="D34" s="5" t="inlineStr"/>
      <c r="E34" s="5" t="inlineStr">
        <is>
          <t>A</t>
        </is>
      </c>
      <c r="F34" s="5" t="n"/>
      <c r="G34" s="5" t="inlineStr">
        <is>
          <t>Biotech</t>
        </is>
      </c>
      <c r="H34" s="5" t="inlineStr">
        <is>
          <t>RICH -11% (high)</t>
        </is>
      </c>
      <c r="I34" s="5" t="inlineStr">
        <is>
          <t>INNOVATING</t>
        </is>
      </c>
      <c r="J34" s="7" t="n">
        <v>540</v>
      </c>
      <c r="K34" s="7" t="n">
        <v>522.64</v>
      </c>
      <c r="L34" s="7" t="n">
        <v>478.62</v>
      </c>
      <c r="M34" s="7" t="n">
        <v>575.96</v>
      </c>
      <c r="N34" s="23" t="n">
        <v>27</v>
      </c>
      <c r="O34" s="23" t="n">
        <v>6</v>
      </c>
      <c r="P34" s="23" t="n">
        <v>2</v>
      </c>
      <c r="Q34" s="8" t="n">
        <v>46328</v>
      </c>
      <c r="R34" s="5" t="n"/>
      <c r="S34" s="12">
        <f>J34/L34-1</f>
        <v/>
      </c>
      <c r="T34" s="12">
        <f>J34/K34-1</f>
        <v/>
      </c>
      <c r="U34" s="9">
        <f>L34*(1+Inputs!$B$17)</f>
        <v/>
      </c>
      <c r="V34" s="9">
        <f>L34*(1+Inputs!$B$18)</f>
        <v/>
      </c>
      <c r="W34" s="9">
        <f>L34*(1+Inputs!$B$19)</f>
        <v/>
      </c>
      <c r="X34" s="12">
        <f>J34/W34-1</f>
        <v/>
      </c>
      <c r="Y34" s="12">
        <f>IF(N(M34)&gt;0,M34/W34-1,"")</f>
        <v/>
      </c>
      <c r="Z34" s="9">
        <f>U34</f>
        <v/>
      </c>
      <c r="AA34" s="15">
        <f>IFERROR(IF(N(M34)&gt;W34,(M34-W34)/(W34-Z34),""),"")</f>
        <v/>
      </c>
      <c r="AB34" s="24">
        <f>IFERROR(N34/(N34+O34+P34),"")</f>
        <v/>
      </c>
      <c r="AC34" s="16">
        <f>IF(D34="HELD","HELD: see Holdings sheet",IF(IF(ISNUMBER(R34),Inputs!$B$5&lt;R34,FALSE),"WASH-SALE LOCK until "&amp;TEXT(R34,"m/d"),IF(J34&lt;U34,"BELOW ZONE: wait for 200-day reclaim",IF(J34&gt;V34,"ABOVE ZONE: extended, wait",IF(IF(ISNUMBER(Q34),AND(Q34&gt;Inputs!$B$5,Q34-Inputs!$B$5&lt;=Inputs!$B$16),FALSE),"IN ZONE: earnings soon, wait",IF(N(M34)&lt;=J34,"IN ZONE: analysts see no upside",IF(J34&lt;=W34,"IN ZONE: at/below buy target - research","IN ZONE: research")))))))</f>
        <v/>
      </c>
      <c r="AD34" s="17" t="inlineStr">
        <is>
          <t>Biotech. Cystic fibrosis franchise; $10B Crinetics deal pending.</t>
        </is>
      </c>
    </row>
    <row r="35">
      <c r="A35" s="5" t="inlineStr">
        <is>
          <t>CPAY</t>
        </is>
      </c>
      <c r="B35" s="5" t="inlineStr">
        <is>
          <t>Corpay</t>
        </is>
      </c>
      <c r="C35" s="5" t="inlineStr">
        <is>
          <t>New industry</t>
        </is>
      </c>
      <c r="D35" s="5" t="inlineStr"/>
      <c r="E35" s="5" t="inlineStr">
        <is>
          <t>A</t>
        </is>
      </c>
      <c r="F35" s="5" t="n"/>
      <c r="G35" s="5" t="inlineStr">
        <is>
          <t>Payments</t>
        </is>
      </c>
      <c r="H35" s="5" t="inlineStr">
        <is>
          <t>n/a</t>
        </is>
      </c>
      <c r="I35" s="5" t="inlineStr">
        <is>
          <t>n/a</t>
        </is>
      </c>
      <c r="J35" s="7" t="n">
        <v>397.97</v>
      </c>
      <c r="K35" s="7" t="n">
        <v>403.45</v>
      </c>
      <c r="L35" s="7" t="n">
        <v>355.07</v>
      </c>
      <c r="M35" s="7" t="n">
        <v>458.81</v>
      </c>
      <c r="N35" s="23" t="n">
        <v>16</v>
      </c>
      <c r="O35" s="23" t="n">
        <v>4</v>
      </c>
      <c r="P35" s="23" t="n">
        <v>0</v>
      </c>
      <c r="Q35" s="8" t="n">
        <v>46330</v>
      </c>
      <c r="R35" s="5" t="n"/>
      <c r="S35" s="12">
        <f>J35/L35-1</f>
        <v/>
      </c>
      <c r="T35" s="12">
        <f>J35/K35-1</f>
        <v/>
      </c>
      <c r="U35" s="9">
        <f>L35*(1+Inputs!$B$17)</f>
        <v/>
      </c>
      <c r="V35" s="9">
        <f>L35*(1+Inputs!$B$18)</f>
        <v/>
      </c>
      <c r="W35" s="9">
        <f>L35*(1+Inputs!$B$19)</f>
        <v/>
      </c>
      <c r="X35" s="12">
        <f>J35/W35-1</f>
        <v/>
      </c>
      <c r="Y35" s="12">
        <f>IF(N(M35)&gt;0,M35/W35-1,"")</f>
        <v/>
      </c>
      <c r="Z35" s="9">
        <f>U35</f>
        <v/>
      </c>
      <c r="AA35" s="15">
        <f>IFERROR(IF(N(M35)&gt;W35,(M35-W35)/(W35-Z35),""),"")</f>
        <v/>
      </c>
      <c r="AB35" s="24">
        <f>IFERROR(N35/(N35+O35+P35),"")</f>
        <v/>
      </c>
      <c r="AC35" s="16">
        <f>IF(D35="HELD","HELD: see Holdings sheet",IF(IF(ISNUMBER(R35),Inputs!$B$5&lt;R35,FALSE),"WASH-SALE LOCK until "&amp;TEXT(R35,"m/d"),IF(J35&lt;U35,"BELOW ZONE: wait for 200-day reclaim",IF(J35&gt;V35,"ABOVE ZONE: extended, wait",IF(IF(ISNUMBER(Q35),AND(Q35&gt;Inputs!$B$5,Q35-Inputs!$B$5&lt;=Inputs!$B$16),FALSE),"IN ZONE: earnings soon, wait",IF(N(M35)&lt;=J35,"IN ZONE: analysts see no upside",IF(J35&lt;=W35,"IN ZONE: at/below buy target - research","IN ZONE: research")))))))</f>
        <v/>
      </c>
      <c r="AD35" s="17" t="inlineStr">
        <is>
          <t>Payments. Rev +21%, raised 2026 guidance in Aug.</t>
        </is>
      </c>
    </row>
    <row r="36">
      <c r="A36" s="5" t="inlineStr">
        <is>
          <t>AFRM</t>
        </is>
      </c>
      <c r="B36" s="5" t="inlineStr">
        <is>
          <t>Affirm</t>
        </is>
      </c>
      <c r="C36" s="5" t="inlineStr">
        <is>
          <t>New industry</t>
        </is>
      </c>
      <c r="D36" s="5" t="inlineStr"/>
      <c r="E36" s="5" t="inlineStr">
        <is>
          <t>A+</t>
        </is>
      </c>
      <c r="F36" s="5" t="n"/>
      <c r="G36" s="5" t="inlineStr">
        <is>
          <t>29 MIXED</t>
        </is>
      </c>
      <c r="H36" s="5" t="inlineStr">
        <is>
          <t>n/a</t>
        </is>
      </c>
      <c r="I36" s="5" t="inlineStr">
        <is>
          <t>DISRUPTOR</t>
        </is>
      </c>
      <c r="J36" s="7" t="n">
        <v>74.84</v>
      </c>
      <c r="K36" s="7" t="n">
        <v>73.08</v>
      </c>
      <c r="L36" s="7" t="n">
        <v>66.51000000000001</v>
      </c>
      <c r="M36" s="7" t="n">
        <v>99.18000000000001</v>
      </c>
      <c r="N36" s="23" t="n">
        <v>32</v>
      </c>
      <c r="O36" s="23" t="n">
        <v>7</v>
      </c>
      <c r="P36" s="23" t="n">
        <v>0</v>
      </c>
      <c r="Q36" s="8" t="n">
        <v>46331</v>
      </c>
      <c r="R36" s="8" t="n">
        <v>46340</v>
      </c>
      <c r="S36" s="12">
        <f>J36/L36-1</f>
        <v/>
      </c>
      <c r="T36" s="12">
        <f>J36/K36-1</f>
        <v/>
      </c>
      <c r="U36" s="9">
        <f>L36*(1+Inputs!$B$17)</f>
        <v/>
      </c>
      <c r="V36" s="9">
        <f>L36*(1+Inputs!$B$18)</f>
        <v/>
      </c>
      <c r="W36" s="9">
        <f>L36*(1+Inputs!$B$19)</f>
        <v/>
      </c>
      <c r="X36" s="12">
        <f>J36/W36-1</f>
        <v/>
      </c>
      <c r="Y36" s="12">
        <f>IF(N(M36)&gt;0,M36/W36-1,"")</f>
        <v/>
      </c>
      <c r="Z36" s="9">
        <f>U36</f>
        <v/>
      </c>
      <c r="AA36" s="15">
        <f>IFERROR(IF(N(M36)&gt;W36,(M36-W36)/(W36-Z36),""),"")</f>
        <v/>
      </c>
      <c r="AB36" s="24">
        <f>IFERROR(N36/(N36+O36+P36),"")</f>
        <v/>
      </c>
      <c r="AC36" s="16">
        <f>IF(D36="HELD","HELD: see Holdings sheet",IF(IF(ISNUMBER(R36),Inputs!$B$5&lt;R36,FALSE),"WASH-SALE LOCK until "&amp;TEXT(R36,"m/d"),IF(J36&lt;U36,"BELOW ZONE: wait for 200-day reclaim",IF(J36&gt;V36,"ABOVE ZONE: extended, wait",IF(IF(ISNUMBER(Q36),AND(Q36&gt;Inputs!$B$5,Q36-Inputs!$B$5&lt;=Inputs!$B$16),FALSE),"IN ZONE: earnings soon, wait",IF(N(M36)&lt;=J36,"IN ZONE: analysts see no upside",IF(J36&lt;=W36,"IN ZONE: at/below buy target - research","IN ZONE: research")))))))</f>
        <v/>
      </c>
      <c r="AD36" s="17" t="inlineStr">
        <is>
          <t>Payments / BNPL. Sold at a loss 10/14: wash-sale lock to 11/14. Missed EPS the last 3 quarters.</t>
        </is>
      </c>
    </row>
    <row r="37">
      <c r="A37" s="5" t="inlineStr">
        <is>
          <t>AAPL</t>
        </is>
      </c>
      <c r="B37" s="5" t="inlineStr">
        <is>
          <t>Apple</t>
        </is>
      </c>
      <c r="C37" s="5" t="inlineStr">
        <is>
          <t>New industry</t>
        </is>
      </c>
      <c r="D37" s="5" t="inlineStr"/>
      <c r="E37" s="5" t="inlineStr">
        <is>
          <t>A</t>
        </is>
      </c>
      <c r="F37" s="5" t="n"/>
      <c r="G37" s="5" t="inlineStr">
        <is>
          <t>Consumer tech</t>
        </is>
      </c>
      <c r="H37" s="5" t="inlineStr">
        <is>
          <t>EXPENSIVE -37% (high)</t>
        </is>
      </c>
      <c r="I37" s="5" t="inlineStr">
        <is>
          <t>INNOVATING</t>
        </is>
      </c>
      <c r="J37" s="7" t="n">
        <v>348.91</v>
      </c>
      <c r="K37" s="7" t="n">
        <v>332.27</v>
      </c>
      <c r="L37" s="7" t="n">
        <v>296.11</v>
      </c>
      <c r="M37" s="7" t="n">
        <v>334.65</v>
      </c>
      <c r="N37" s="23" t="n">
        <v>27</v>
      </c>
      <c r="O37" s="23" t="n">
        <v>14</v>
      </c>
      <c r="P37" s="23" t="n">
        <v>6</v>
      </c>
      <c r="Q37" s="8" t="n">
        <v>46328</v>
      </c>
      <c r="R37" s="5" t="n"/>
      <c r="S37" s="12">
        <f>J37/L37-1</f>
        <v/>
      </c>
      <c r="T37" s="12">
        <f>J37/K37-1</f>
        <v/>
      </c>
      <c r="U37" s="9">
        <f>L37*(1+Inputs!$B$17)</f>
        <v/>
      </c>
      <c r="V37" s="9">
        <f>L37*(1+Inputs!$B$18)</f>
        <v/>
      </c>
      <c r="W37" s="9">
        <f>L37*(1+Inputs!$B$19)</f>
        <v/>
      </c>
      <c r="X37" s="12">
        <f>J37/W37-1</f>
        <v/>
      </c>
      <c r="Y37" s="12">
        <f>IF(N(M37)&gt;0,M37/W37-1,"")</f>
        <v/>
      </c>
      <c r="Z37" s="9">
        <f>U37</f>
        <v/>
      </c>
      <c r="AA37" s="15">
        <f>IFERROR(IF(N(M37)&gt;W37,(M37-W37)/(W37-Z37),""),"")</f>
        <v/>
      </c>
      <c r="AB37" s="24">
        <f>IFERROR(N37/(N37+O37+P37),"")</f>
        <v/>
      </c>
      <c r="AC37" s="16">
        <f>IF(D37="HELD","HELD: see Holdings sheet",IF(IF(ISNUMBER(R37),Inputs!$B$5&lt;R37,FALSE),"WASH-SALE LOCK until "&amp;TEXT(R37,"m/d"),IF(J37&lt;U37,"BELOW ZONE: wait for 200-day reclaim",IF(J37&gt;V37,"ABOVE ZONE: extended, wait",IF(IF(ISNUMBER(Q37),AND(Q37&gt;Inputs!$B$5,Q37-Inputs!$B$5&lt;=Inputs!$B$16),FALSE),"IN ZONE: earnings soon, wait",IF(N(M37)&lt;=J37,"IN ZONE: analysts see no upside",IF(J37&lt;=W37,"IN ZONE: at/below buy target - research","IN ZONE: research")))))))</f>
        <v/>
      </c>
      <c r="AD37" s="17" t="inlineStr">
        <is>
          <t>Consumer tech. Analyst mean target is BELOW price.</t>
        </is>
      </c>
    </row>
    <row r="38">
      <c r="A38" s="5" t="inlineStr">
        <is>
          <t>MA</t>
        </is>
      </c>
      <c r="B38" s="5" t="inlineStr">
        <is>
          <t>Mastercard</t>
        </is>
      </c>
      <c r="C38" s="5" t="inlineStr">
        <is>
          <t>New industry</t>
        </is>
      </c>
      <c r="D38" s="5" t="inlineStr"/>
      <c r="E38" s="5" t="inlineStr">
        <is>
          <t>A</t>
        </is>
      </c>
      <c r="F38" s="5" t="n"/>
      <c r="G38" s="5" t="inlineStr">
        <is>
          <t>0 EXTENDED</t>
        </is>
      </c>
      <c r="H38" s="5" t="inlineStr">
        <is>
          <t>FAIR +4% (high)</t>
        </is>
      </c>
      <c r="I38" s="5" t="inlineStr">
        <is>
          <t>STABLE</t>
        </is>
      </c>
      <c r="J38" s="7" t="n">
        <v>635.7</v>
      </c>
      <c r="K38" s="7" t="n">
        <v>584.9400000000001</v>
      </c>
      <c r="L38" s="7" t="n">
        <v>535.15</v>
      </c>
      <c r="M38" s="7" t="n">
        <v>695.83</v>
      </c>
      <c r="N38" s="23" t="n">
        <v>39</v>
      </c>
      <c r="O38" s="23" t="n">
        <v>4</v>
      </c>
      <c r="P38" s="23" t="n">
        <v>1</v>
      </c>
      <c r="Q38" s="8" t="inlineStr">
        <is>
          <t>n/a</t>
        </is>
      </c>
      <c r="R38" s="5" t="n"/>
      <c r="S38" s="12">
        <f>J38/L38-1</f>
        <v/>
      </c>
      <c r="T38" s="12">
        <f>J38/K38-1</f>
        <v/>
      </c>
      <c r="U38" s="9">
        <f>L38*(1+Inputs!$B$17)</f>
        <v/>
      </c>
      <c r="V38" s="9">
        <f>L38*(1+Inputs!$B$18)</f>
        <v/>
      </c>
      <c r="W38" s="9">
        <f>L38*(1+Inputs!$B$19)</f>
        <v/>
      </c>
      <c r="X38" s="12">
        <f>J38/W38-1</f>
        <v/>
      </c>
      <c r="Y38" s="12">
        <f>IF(N(M38)&gt;0,M38/W38-1,"")</f>
        <v/>
      </c>
      <c r="Z38" s="9">
        <f>U38</f>
        <v/>
      </c>
      <c r="AA38" s="15">
        <f>IFERROR(IF(N(M38)&gt;W38,(M38-W38)/(W38-Z38),""),"")</f>
        <v/>
      </c>
      <c r="AB38" s="24">
        <f>IFERROR(N38/(N38+O38+P38),"")</f>
        <v/>
      </c>
      <c r="AC38" s="16">
        <f>IF(D38="HELD","HELD: see Holdings sheet",IF(IF(ISNUMBER(R38),Inputs!$B$5&lt;R38,FALSE),"WASH-SALE LOCK until "&amp;TEXT(R38,"m/d"),IF(J38&lt;U38,"BELOW ZONE: wait for 200-day reclaim",IF(J38&gt;V38,"ABOVE ZONE: extended, wait",IF(IF(ISNUMBER(Q38),AND(Q38&gt;Inputs!$B$5,Q38-Inputs!$B$5&lt;=Inputs!$B$16),FALSE),"IN ZONE: earnings soon, wait",IF(N(M38)&lt;=J38,"IN ZONE: analysts see no upside",IF(J38&lt;=W38,"IN ZONE: at/below buy target - research","IN ZONE: research")))))))</f>
        <v/>
      </c>
      <c r="AD38" s="17" t="inlineStr">
        <is>
          <t>Payments. Q3 beat (adj EPS $5.31 vs $5.15, rev +14%). Near record high: 19% above its 200-day.</t>
        </is>
      </c>
    </row>
    <row r="40">
      <c r="A40" s="18" t="inlineStr">
        <is>
          <t>COUNT</t>
        </is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>
        <f>COUNTIF(AC5:AC38,"IN ZONE*")&amp;" in zone, "&amp;COUNTIF(AC5:AC38,"BELOW*")&amp;" below, "&amp;COUNTIF(AC5:AC38,"ABOVE*")&amp;" above"</f>
        <v/>
      </c>
      <c r="AD40" s="18" t="n"/>
    </row>
  </sheetData>
  <autoFilter ref="A4:AD38"/>
  <conditionalFormatting sqref="AC5:AC38">
    <cfRule type="expression" priority="1" dxfId="2">
      <formula>LEFT(AC5,7)="IN ZONE"</formula>
    </cfRule>
    <cfRule type="expression" priority="2" dxfId="1">
      <formula>OR(LEFT(AC5,4)="WASH",ISNUMBER(SEARCH("earnings",AC5)),ISNUMBER(SEARCH("no upside",AC5)))</formula>
    </cfRule>
    <cfRule type="expression" priority="3" dxfId="0">
      <formula>LEFT(AC5,5)="BELOW"</formula>
    </cfRule>
  </conditionalFormatting>
  <conditionalFormatting sqref="I5:I38">
    <cfRule type="cellIs" priority="4" operator="equal" dxfId="1">
      <formula>"AT RISK"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25" t="inlineStr">
        <is>
          <t>Assumption</t>
        </is>
      </c>
      <c r="B4" s="25" t="inlineStr">
        <is>
          <t>Value</t>
        </is>
      </c>
      <c r="C4" s="25" t="inlineStr">
        <is>
          <t>What it does</t>
        </is>
      </c>
    </row>
    <row r="5">
      <c r="A5" t="inlineStr">
        <is>
          <t>As-of date (prices)</t>
        </is>
      </c>
      <c r="B5" s="8" t="n">
        <v>46324</v>
      </c>
      <c r="C5" t="inlineStr">
        <is>
          <t>Date of the prices in the Price column (see the Holdings header).</t>
        </is>
      </c>
    </row>
    <row r="6">
      <c r="A6" t="inlineStr">
        <is>
          <t>Price to use</t>
        </is>
      </c>
      <c r="B6" s="5" t="inlineStr">
        <is>
          <t>Price</t>
        </is>
      </c>
      <c r="C6" t="inlineStr">
        <is>
          <t>Price or After-hours. After-hours falls back to Price when blank.</t>
        </is>
      </c>
    </row>
    <row r="7">
      <c r="A7" t="inlineStr">
        <is>
          <t>Trim 1 trigger (% of final target)</t>
        </is>
      </c>
      <c r="B7" s="26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26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26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27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26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26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26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26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26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23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26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26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26" t="n">
        <v>0</v>
      </c>
      <c r="C19" t="inlineStr">
        <is>
          <t>Buy target = 200-day SMA x (1 + this). 0% = buy at the line.</t>
        </is>
      </c>
    </row>
  </sheetData>
  <dataValidations count="1">
    <dataValidation sqref="B6" showDropDown="0" showInputMessage="0" showErrorMessage="0" allowBlank="0" type="list">
      <formula1>"Price,After-hours"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8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/>
    </row>
    <row r="19">
      <c r="A19" s="28" t="inlineStr">
        <is>
          <t>Sources</t>
        </is>
      </c>
    </row>
    <row r="20">
      <c r="A20" t="inlineStr">
        <is>
          <t>Positions, quotes, 50/200-day SMA, 60-day range, 52-wk high, analyst ratings, earnings dates: Robinhood, via joint_tracker_data.json.</t>
        </is>
      </c>
    </row>
    <row r="21">
      <c r="A21" t="inlineStr">
        <is>
          <t>Targets: joint_price_targets.json. Valuation and disruption: valuation.json. Chart setups: setups.json. Re-buy: rebuy_watch.json. Wash-sale dates: wash_sale_watch.json.</t>
        </is>
      </c>
    </row>
    <row r="22">
      <c r="A22" t="inlineStr"/>
    </row>
    <row r="23">
      <c r="A23" s="28" t="inlineStr">
        <is>
          <t>Not included</t>
        </is>
      </c>
    </row>
    <row r="24">
      <c r="A24" t="inlineStr">
        <is>
          <t>Holdings with no quote (e.g. EPIX^, 25 sh at $0 cost) are listed at the top of Holdings as Not priced.</t>
        </is>
      </c>
    </row>
    <row r="25">
      <c r="A25" t="inlineStr">
        <is>
          <t>Taxes: this is a taxable account. Check wash-sale lockouts (Robinhood list 'Wash-Sale Lockout') before selling at a loss and rebuying.</t>
        </is>
      </c>
    </row>
    <row r="26">
      <c r="A26" t="inlineStr"/>
    </row>
    <row r="27">
      <c r="A27" s="28" t="inlineStr">
        <is>
          <t>Refresh</t>
        </is>
      </c>
    </row>
    <row r="28">
      <c r="A28" t="inlineStr">
        <is>
          <t>The Quality @ 200-day routine (step 4f) refreshes joint_tracker_data.json and rebuilds this file each weekday. Edit blue cells for what-ifs; a rebuild overwrites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2026-10-30T05:22:12Z</dcterms:created>
  <dcterms:modified xmlns:dcterms="http://purl.org/dc/terms/" xmlns:xsi="http://www.w3.org/2001/XMLSchema-instance" xsi:type="dcterms:W3CDTF">2026-10-30T05:22:12Z</dcterms:modified>
</cp:coreProperties>
</file>